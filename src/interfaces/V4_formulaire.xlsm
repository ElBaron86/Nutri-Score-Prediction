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trlProps/ctrlProp3.xml" ContentType="application/vnd.ms-excel.controlproperties+xml"/>
  <Override PartName="/xl/drawings/drawing6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33662\Desktop\Projet_digital\src\interfaces\"/>
    </mc:Choice>
  </mc:AlternateContent>
  <xr:revisionPtr revIDLastSave="0" documentId="13_ncr:1_{A2D88B29-F1C2-4010-9F6D-2E1B2AE7F380}" xr6:coauthVersionLast="47" xr6:coauthVersionMax="47" xr10:uidLastSave="{00000000-0000-0000-0000-000000000000}"/>
  <bookViews>
    <workbookView xWindow="-108" yWindow="-108" windowWidth="23256" windowHeight="12456" firstSheet="1" activeTab="1" xr2:uid="{00000000-000D-0000-FFFF-FFFF00000000}"/>
  </bookViews>
  <sheets>
    <sheet name="Accueil" sheetId="2" state="hidden" r:id="rId1"/>
    <sheet name="Dashboard" sheetId="4" r:id="rId2"/>
    <sheet name="Traitement_Dashboard" sheetId="3" state="hidden" r:id="rId3"/>
    <sheet name="Historique_producteur" sheetId="1" state="hidden" r:id="rId4"/>
    <sheet name="Historique_consommateur" sheetId="5" r:id="rId5"/>
  </sheets>
  <functionGroups builtInGroupCount="19"/>
  <externalReferences>
    <externalReference r:id="rId6"/>
    <externalReference r:id="rId7"/>
    <externalReference r:id="rId8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3" l="1"/>
  <c r="B10" i="3" s="1"/>
</calcChain>
</file>

<file path=xl/sharedStrings.xml><?xml version="1.0" encoding="utf-8"?>
<sst xmlns="http://schemas.openxmlformats.org/spreadsheetml/2006/main" count="58" uniqueCount="30">
  <si>
    <t>Nom du produit</t>
  </si>
  <si>
    <t>Sucre</t>
  </si>
  <si>
    <t>Sel</t>
  </si>
  <si>
    <t>Energie</t>
  </si>
  <si>
    <t>Matières grasses</t>
  </si>
  <si>
    <t>Matières grasses saturé</t>
  </si>
  <si>
    <t>Cholestérol</t>
  </si>
  <si>
    <t>Fibres</t>
  </si>
  <si>
    <t>Vitamine c</t>
  </si>
  <si>
    <t>Fer</t>
  </si>
  <si>
    <t>Résultat Nutri-score</t>
  </si>
  <si>
    <t>A</t>
  </si>
  <si>
    <t>Résultat</t>
  </si>
  <si>
    <t>B</t>
  </si>
  <si>
    <t>C</t>
  </si>
  <si>
    <t>D</t>
  </si>
  <si>
    <t>E</t>
  </si>
  <si>
    <t>Vide</t>
  </si>
  <si>
    <t>Indicateur</t>
  </si>
  <si>
    <t>Curseur</t>
  </si>
  <si>
    <t>Reste</t>
  </si>
  <si>
    <t>Matières grasses saturé trans</t>
  </si>
  <si>
    <t>Sodium</t>
  </si>
  <si>
    <t>Calcium</t>
  </si>
  <si>
    <t>Vitamine a</t>
  </si>
  <si>
    <t>Glucides</t>
  </si>
  <si>
    <t>test conso</t>
  </si>
  <si>
    <t>1,1</t>
  </si>
  <si>
    <t xml:space="preserve">Protéines </t>
  </si>
  <si>
    <t>test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</si>
</sst>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4"/>
      <color rgb="FF0000FF"/>
      <name val="Calibri"/>
      <family val="2"/>
    </font>
    <font>
      <b/>
      <sz val="20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859-4911-B8F9-5EDE24D6F292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859-4911-B8F9-5EDE24D6F292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859-4911-B8F9-5EDE24D6F292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859-4911-B8F9-5EDE24D6F292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859-4911-B8F9-5EDE24D6F292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859-4911-B8F9-5EDE24D6F292}"/>
              </c:ext>
            </c:extLst>
          </c:dPt>
          <c:val>
            <c:numRef>
              <c:f>[1]Feuil1!$B$1:$B$6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859-4911-B8F9-5EDE24D6F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7859-4911-B8F9-5EDE24D6F292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7859-4911-B8F9-5EDE24D6F29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7859-4911-B8F9-5EDE24D6F292}"/>
              </c:ext>
            </c:extLst>
          </c:dPt>
          <c:val>
            <c:numRef>
              <c:f>[2]Lien_Réponse_Diagramme!$B$8:$B$10</c:f>
              <c:numCache>
                <c:formatCode>General</c:formatCode>
                <c:ptCount val="3"/>
                <c:pt idx="0">
                  <c:v>30</c:v>
                </c:pt>
                <c:pt idx="1">
                  <c:v>1.5</c:v>
                </c:pt>
                <c:pt idx="2">
                  <c:v>168.5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859-4911-B8F9-5EDE24D6F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B02-4D30-8DD4-A4E80A0194F9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B02-4D30-8DD4-A4E80A0194F9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B02-4D30-8DD4-A4E80A0194F9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B02-4D30-8DD4-A4E80A0194F9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B02-4D30-8DD4-A4E80A0194F9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B02-4D30-8DD4-A4E80A0194F9}"/>
              </c:ext>
            </c:extLst>
          </c:dPt>
          <c:val>
            <c:numRef>
              <c:f>[3]Feuil1!$B$1:$B$6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B02-4D30-8DD4-A4E80A019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1B02-4D30-8DD4-A4E80A0194F9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1B02-4D30-8DD4-A4E80A0194F9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1B02-4D30-8DD4-A4E80A0194F9}"/>
              </c:ext>
            </c:extLst>
          </c:dPt>
          <c:val>
            <c:numRef>
              <c:f>Traitement_Dashboard!$B$8:$B$10</c:f>
              <c:numCache>
                <c:formatCode>General</c:formatCode>
                <c:ptCount val="3"/>
                <c:pt idx="0">
                  <c:v>0</c:v>
                </c:pt>
                <c:pt idx="1">
                  <c:v>1.5</c:v>
                </c:pt>
                <c:pt idx="2">
                  <c:v>198.5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B02-4D30-8DD4-A4E80A019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7F7F7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390524" y="209550"/>
    <xdr:ext cx="5372101" cy="4857750"/>
    <xdr:graphicFrame macro="[0]!Lance_formulaire">
      <xdr:nvGraphicFramePr>
        <xdr:cNvPr id="5" name="Graphique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7620</xdr:rowOff>
        </xdr:from>
        <xdr:to>
          <xdr:col>11</xdr:col>
          <xdr:colOff>22860</xdr:colOff>
          <xdr:row>4</xdr:row>
          <xdr:rowOff>182880</xdr:rowOff>
        </xdr:to>
        <xdr:sp macro="" textlink="">
          <xdr:nvSpPr>
            <xdr:cNvPr id="2049" name="Button 1" descr="Mon Historiqu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Mon Historique Consommateur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777240</xdr:colOff>
          <xdr:row>7</xdr:row>
          <xdr:rowOff>15240</xdr:rowOff>
        </xdr:from>
        <xdr:to>
          <xdr:col>11</xdr:col>
          <xdr:colOff>7620</xdr:colOff>
          <xdr:row>11</xdr:row>
          <xdr:rowOff>7620</xdr:rowOff>
        </xdr:to>
        <xdr:sp macro="" textlink="">
          <xdr:nvSpPr>
            <xdr:cNvPr id="2050" name="Button 2" descr="Mon Historiqu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Mon Historique Producteur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0.21875</cdr:x>
      <cdr:y>0.64489</cdr:y>
    </cdr:from>
    <cdr:to>
      <cdr:x>0.78281</cdr:x>
      <cdr:y>0.89782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1066800" y="2830499"/>
          <a:ext cx="2750819" cy="1110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2600">
              <a:solidFill>
                <a:schemeClr val="tx1"/>
              </a:solidFill>
            </a:rPr>
            <a:t>Nutriscore : </a:t>
          </a:r>
        </a:p>
      </cdr:txBody>
    </cdr:sp>
  </cdr:relSizeAnchor>
  <cdr:relSizeAnchor xmlns:cdr="http://schemas.openxmlformats.org/drawingml/2006/chartDrawing">
    <cdr:from>
      <cdr:x>0.03513</cdr:x>
      <cdr:y>0.01885</cdr:y>
    </cdr:from>
    <cdr:to>
      <cdr:x>1</cdr:x>
      <cdr:y>0.09201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28600" y="100402"/>
          <a:ext cx="6278880" cy="3896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1500"/>
            <a:t>Cliquer</a:t>
          </a:r>
          <a:r>
            <a:rPr lang="fr-FR" sz="1500" baseline="0"/>
            <a:t> ici pour calculer le nutri-score de votre produit </a:t>
          </a:r>
        </a:p>
        <a:p xmlns:a="http://schemas.openxmlformats.org/drawingml/2006/main">
          <a:endParaRPr lang="fr-FR" sz="15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9677" cy="6073468"/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0.35699</cdr:x>
      <cdr:y>0.64489</cdr:y>
    </cdr:from>
    <cdr:to>
      <cdr:x>0.55459</cdr:x>
      <cdr:y>0.89782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3322320" y="3911600"/>
          <a:ext cx="1838960" cy="15341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2600">
              <a:solidFill>
                <a:schemeClr val="tx1"/>
              </a:solidFill>
            </a:rPr>
            <a:t>Nutriscore : </a:t>
          </a:r>
        </a:p>
      </cdr:txBody>
    </cdr:sp>
  </cdr:relSizeAnchor>
  <cdr:relSizeAnchor xmlns:cdr="http://schemas.openxmlformats.org/drawingml/2006/chartDrawing">
    <cdr:from>
      <cdr:x>0.55008</cdr:x>
      <cdr:y>0.64061</cdr:y>
    </cdr:from>
    <cdr:to>
      <cdr:x>0.6669</cdr:x>
      <cdr:y>0.79472</cdr:y>
    </cdr:to>
    <cdr:sp macro="" textlink="Traitement_Dashboard!$D$2">
      <cdr:nvSpPr>
        <cdr:cNvPr id="5" name="ZoneTexte 4">
          <a:extLst xmlns:a="http://schemas.openxmlformats.org/drawingml/2006/main">
            <a:ext uri="{FF2B5EF4-FFF2-40B4-BE49-F238E27FC236}">
              <a16:creationId xmlns:a16="http://schemas.microsoft.com/office/drawing/2014/main" id="{D1DBBE20-04D0-3845-B0B6-BF0D84042E76}"/>
            </a:ext>
          </a:extLst>
        </cdr:cNvPr>
        <cdr:cNvSpPr txBox="1"/>
      </cdr:nvSpPr>
      <cdr:spPr>
        <a:xfrm xmlns:a="http://schemas.openxmlformats.org/drawingml/2006/main">
          <a:off x="5115552" y="3890736"/>
          <a:ext cx="1086388" cy="9359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7AFBA025-D4C1-4431-9029-71DCDB6DF381}" type="TxLink">
            <a:rPr lang="en-US" sz="3200" b="0" i="0" u="none" strike="noStrike">
              <a:solidFill>
                <a:schemeClr val="accent1"/>
              </a:solidFill>
              <a:latin typeface="Calibri"/>
              <a:cs typeface="Calibri"/>
            </a:rPr>
            <a:pPr/>
            <a:t> </a:t>
          </a:fld>
          <a:endParaRPr lang="fr-FR" sz="6000">
            <a:solidFill>
              <a:schemeClr val="accent1"/>
            </a:solidFill>
          </a:endParaRPr>
        </a:p>
      </cdr:txBody>
    </cdr:sp>
  </cdr:relSizeAnchor>
  <cdr:relSizeAnchor xmlns:cdr="http://schemas.openxmlformats.org/drawingml/2006/chartDrawing">
    <cdr:from>
      <cdr:x>0.30349</cdr:x>
      <cdr:y>0.0067</cdr:y>
    </cdr:from>
    <cdr:to>
      <cdr:x>0.86135</cdr:x>
      <cdr:y>0.06365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824480" y="40640"/>
          <a:ext cx="5191760" cy="3454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1500"/>
            <a:t>Votre</a:t>
          </a:r>
          <a:r>
            <a:rPr lang="fr-FR" sz="1500" baseline="0"/>
            <a:t> produit obtient le résultat suivant :</a:t>
          </a:r>
          <a:endParaRPr lang="fr-FR" sz="15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647700</xdr:colOff>
          <xdr:row>5</xdr:row>
          <xdr:rowOff>167640</xdr:rowOff>
        </xdr:from>
        <xdr:to>
          <xdr:col>13</xdr:col>
          <xdr:colOff>213360</xdr:colOff>
          <xdr:row>10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784860</xdr:colOff>
          <xdr:row>1</xdr:row>
          <xdr:rowOff>0</xdr:rowOff>
        </xdr:from>
        <xdr:to>
          <xdr:col>12</xdr:col>
          <xdr:colOff>525781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cuments\UFR\MASTER_SEP\Semestre_3\SEP0953%23Gestion_de_projet\Projet_digital\jauge.xlsx" TargetMode="External"/><Relationship Id="rId1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jauge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cuments\UFR\MASTER_SEP\Semestre_3\SEP0953%23Gestion_de_projet\Projet_digital\test_formulaire4.xlsm" TargetMode="External"/><Relationship Id="rId1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test_formulaire4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V1_dashboard.xlsx" TargetMode="External"/><Relationship Id="rId1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V1_dashboar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Jauge"/>
      <sheetName val="Feuil1"/>
    </sheetNames>
    <sheetDataSet>
      <sheetData sheetId="0" refreshError="1"/>
      <sheetData sheetId="1">
        <row r="1">
          <cell r="B1">
            <v>20</v>
          </cell>
        </row>
        <row r="2">
          <cell r="B2">
            <v>20</v>
          </cell>
        </row>
        <row r="3">
          <cell r="B3">
            <v>20</v>
          </cell>
        </row>
        <row r="4">
          <cell r="B4">
            <v>20</v>
          </cell>
        </row>
        <row r="5">
          <cell r="B5">
            <v>20</v>
          </cell>
        </row>
        <row r="6">
          <cell r="B6">
            <v>100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istorique_calcul_nutri-score"/>
      <sheetName val="Lien_Réponse_Diagramme"/>
      <sheetName val="test_formulaire4"/>
    </sheetNames>
    <sheetDataSet>
      <sheetData sheetId="0"/>
      <sheetData sheetId="1">
        <row r="8">
          <cell r="B8">
            <v>30</v>
          </cell>
        </row>
        <row r="9">
          <cell r="B9">
            <v>1.5</v>
          </cell>
        </row>
        <row r="10">
          <cell r="B10">
            <v>168.5</v>
          </cell>
        </row>
      </sheetData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Jauge"/>
      <sheetName val="Feuil1"/>
    </sheetNames>
    <sheetDataSet>
      <sheetData sheetId="0" refreshError="1"/>
      <sheetData sheetId="1">
        <row r="1">
          <cell r="B1">
            <v>20</v>
          </cell>
        </row>
        <row r="2">
          <cell r="B2">
            <v>20</v>
          </cell>
        </row>
        <row r="3">
          <cell r="B3">
            <v>20</v>
          </cell>
        </row>
        <row r="4">
          <cell r="B4">
            <v>20</v>
          </cell>
        </row>
        <row r="5">
          <cell r="B5">
            <v>20</v>
          </cell>
        </row>
        <row r="6">
          <cell r="B6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67DDC-A081-4E2C-9EE5-C5EA99FA7FF3}">
  <sheetPr codeName="Feuil2"/>
  <dimension ref="A1"/>
  <sheetViews>
    <sheetView workbookViewId="0">
      <selection activeCell="K16" sqref="K16"/>
    </sheetView>
  </sheetViews>
  <sheetFormatPr baseColWidth="10" defaultRowHeight="14.4" x14ac:dyDescent="0.3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Historique_consommateur" altText="Mon Historique">
                <anchor moveWithCells="1">
                  <from>
                    <xdr:col>8</xdr:col>
                    <xdr:colOff>0</xdr:colOff>
                    <xdr:row>1</xdr:row>
                    <xdr:rowOff>7620</xdr:rowOff>
                  </from>
                  <to>
                    <xdr:col>11</xdr:col>
                    <xdr:colOff>22860</xdr:colOff>
                    <xdr:row>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Historique_producteur" altText="Mon Historique">
                <anchor moveWithCells="1">
                  <from>
                    <xdr:col>7</xdr:col>
                    <xdr:colOff>777240</xdr:colOff>
                    <xdr:row>7</xdr:row>
                    <xdr:rowOff>15240</xdr:rowOff>
                  </from>
                  <to>
                    <xdr:col>11</xdr:col>
                    <xdr:colOff>7620</xdr:colOff>
                    <xdr:row>11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121B6-FE7B-4BD6-80F7-F6B7C7335B99}">
  <sheetPr codeName="Feuil4"/>
  <dimension ref="A1"/>
  <sheetViews>
    <sheetView showGridLines="0" tabSelected="1" workbookViewId="0">
      <selection activeCell="P8" sqref="P8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6C32A-4F17-4AD1-A03A-BD94F9B77259}">
  <sheetPr codeName="Feuil3"/>
  <dimension ref="A1:D10"/>
  <sheetViews>
    <sheetView workbookViewId="0">
      <selection activeCell="D3" sqref="D3"/>
    </sheetView>
  </sheetViews>
  <sheetFormatPr baseColWidth="10" defaultRowHeight="14.4" x14ac:dyDescent="0.3"/>
  <sheetData>
    <row r="1" spans="1:4" x14ac:dyDescent="0.3">
      <c r="A1" t="s">
        <v>11</v>
      </c>
      <c r="B1">
        <v>20</v>
      </c>
      <c r="D1" t="s">
        <v>12</v>
      </c>
    </row>
    <row r="2" spans="1:4" x14ac:dyDescent="0.3">
      <c r="A2" t="s">
        <v>13</v>
      </c>
      <c r="B2">
        <v>20</v>
      </c>
    </row>
    <row r="3" spans="1:4" x14ac:dyDescent="0.3">
      <c r="A3" t="s">
        <v>14</v>
      </c>
      <c r="B3">
        <v>20</v>
      </c>
    </row>
    <row r="4" spans="1:4" x14ac:dyDescent="0.3">
      <c r="A4" t="s">
        <v>15</v>
      </c>
      <c r="B4">
        <v>20</v>
      </c>
    </row>
    <row r="5" spans="1:4" x14ac:dyDescent="0.3">
      <c r="A5" t="s">
        <v>16</v>
      </c>
      <c r="B5">
        <v>20</v>
      </c>
    </row>
    <row r="6" spans="1:4" x14ac:dyDescent="0.3">
      <c r="A6" t="s">
        <v>17</v>
      </c>
      <c r="B6">
        <v>100</v>
      </c>
    </row>
    <row r="8" spans="1:4" x14ac:dyDescent="0.3">
      <c r="A8" t="s">
        <v>18</v>
      </c>
      <c r="B8" t="b">
        <f>IF(D2="A",10,IF(D2="B",30,IF(D2="C",50,IF(D2="D",70,IF(D2="E",90)))))</f>
        <v>0</v>
      </c>
    </row>
    <row r="9" spans="1:4" x14ac:dyDescent="0.3">
      <c r="A9" t="s">
        <v>19</v>
      </c>
      <c r="B9">
        <v>1.5</v>
      </c>
    </row>
    <row r="10" spans="1:4" x14ac:dyDescent="0.3">
      <c r="A10" t="s">
        <v>20</v>
      </c>
      <c r="B10">
        <f>200-B8-B9</f>
        <v>198.5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O2"/>
  <sheetViews>
    <sheetView workbookViewId="0">
      <selection activeCell="E11" sqref="E11"/>
    </sheetView>
  </sheetViews>
  <sheetFormatPr baseColWidth="10" defaultColWidth="11.5546875" defaultRowHeight="14.4" x14ac:dyDescent="0.3"/>
  <cols>
    <col min="1" max="1" width="15" style="4" bestFit="1" customWidth="1"/>
    <col min="2" max="2" width="8" style="4" bestFit="1" customWidth="1"/>
    <col min="3" max="3" width="15.77734375" style="4" bestFit="1" customWidth="1"/>
    <col min="4" max="4" width="21.77734375" style="4" bestFit="1" customWidth="1"/>
    <col min="5" max="5" width="26.6640625" style="4" bestFit="1" customWidth="1"/>
    <col min="6" max="6" width="11" style="4" bestFit="1" customWidth="1"/>
    <col min="7" max="7" width="6.109375" style="4" bestFit="1" customWidth="1"/>
    <col min="8" max="8" width="8.5546875" style="4" bestFit="1" customWidth="1"/>
    <col min="9" max="9" width="6.5546875" style="4" bestFit="1" customWidth="1"/>
    <col min="10" max="10" width="10.77734375" style="4" bestFit="1" customWidth="1"/>
    <col min="11" max="11" width="10.44140625" style="4" bestFit="1" customWidth="1"/>
    <col min="12" max="12" width="8.109375" style="4" bestFit="1" customWidth="1"/>
    <col min="13" max="13" width="7.88671875" style="4" bestFit="1" customWidth="1"/>
    <col min="14" max="14" width="4.21875" style="4" bestFit="1" customWidth="1"/>
    <col min="15" max="15" width="18.33203125" style="4" bestFit="1" customWidth="1"/>
    <col min="16" max="16384" width="11.5546875" style="4"/>
  </cols>
  <sheetData>
    <row r="1" spans="1:15" ht="15.6" thickTop="1" thickBot="1" x14ac:dyDescent="0.35">
      <c r="A1" s="1" t="s">
        <v>0</v>
      </c>
      <c r="B1" s="2" t="s">
        <v>3</v>
      </c>
      <c r="C1" s="2" t="s">
        <v>4</v>
      </c>
      <c r="D1" s="2" t="s">
        <v>5</v>
      </c>
      <c r="E1" s="3" t="s">
        <v>21</v>
      </c>
      <c r="F1" s="3" t="s">
        <v>6</v>
      </c>
      <c r="G1" s="3" t="s">
        <v>1</v>
      </c>
      <c r="H1" s="3" t="s">
        <v>25</v>
      </c>
      <c r="I1" s="3" t="s">
        <v>7</v>
      </c>
      <c r="J1" s="3" t="s">
        <v>24</v>
      </c>
      <c r="K1" s="3" t="s">
        <v>8</v>
      </c>
      <c r="L1" s="3" t="s">
        <v>23</v>
      </c>
      <c r="M1" s="3" t="s">
        <v>22</v>
      </c>
      <c r="N1" s="3" t="s">
        <v>9</v>
      </c>
      <c r="O1" s="3" t="s">
        <v>10</v>
      </c>
    </row>
    <row r="2" spans="1:15" ht="15" thickTop="1" x14ac:dyDescent="0.3"/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tour">
                <anchor moveWithCells="1">
                  <from>
                    <xdr:col>9</xdr:col>
                    <xdr:colOff>647700</xdr:colOff>
                    <xdr:row>5</xdr:row>
                    <xdr:rowOff>167640</xdr:rowOff>
                  </from>
                  <to>
                    <xdr:col>13</xdr:col>
                    <xdr:colOff>213360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E6020-E85C-45BA-A016-243299CF82CC}">
  <sheetPr codeName="Feuil5"/>
  <dimension ref="A1:I14"/>
  <sheetViews>
    <sheetView zoomScale="70" zoomScaleNormal="70" workbookViewId="0">
      <selection activeCell="C9" sqref="C9"/>
    </sheetView>
  </sheetViews>
  <sheetFormatPr baseColWidth="10" defaultRowHeight="14.4" x14ac:dyDescent="0.3"/>
  <cols>
    <col min="1" max="1" width="15.109375" style="4" customWidth="1"/>
    <col min="2" max="2" width="11.5546875" style="4"/>
    <col min="3" max="3" width="19.21875" style="4" customWidth="1"/>
    <col min="4" max="4" width="25" style="4" customWidth="1"/>
    <col min="5" max="8" width="11.5546875" style="4"/>
    <col min="9" max="9" width="19.33203125" style="4" customWidth="1"/>
    <col min="10" max="16384" width="11.5546875" style="4"/>
  </cols>
  <sheetData>
    <row r="1" spans="1:9" ht="15.6" thickTop="1" thickBot="1" x14ac:dyDescent="0.35">
      <c r="A1" s="1" t="s">
        <v>0</v>
      </c>
      <c r="B1" s="2" t="s">
        <v>3</v>
      </c>
      <c r="C1" s="2" t="s">
        <v>4</v>
      </c>
      <c r="D1" s="2" t="s">
        <v>5</v>
      </c>
      <c r="E1" s="3" t="s">
        <v>1</v>
      </c>
      <c r="F1" s="3" t="s">
        <v>25</v>
      </c>
      <c r="G1" s="3" t="s">
        <v>2</v>
      </c>
      <c r="H1" s="3" t="s">
        <v>28</v>
      </c>
      <c r="I1" s="3" t="s">
        <v>10</v>
      </c>
    </row>
    <row r="2" spans="1:9" ht="15" thickTop="1" x14ac:dyDescent="0.3">
      <c r="A2" s="4" t="s">
        <v>26</v>
      </c>
      <c r="B2" s="4">
        <v>1.1000000000000001</v>
      </c>
      <c r="C2" s="4">
        <v>2</v>
      </c>
      <c r="D2" s="4">
        <v>2</v>
      </c>
      <c r="E2" s="4">
        <v>2</v>
      </c>
      <c r="F2" s="4">
        <v>2</v>
      </c>
      <c r="G2" s="4">
        <v>2</v>
      </c>
      <c r="H2" s="4">
        <v>2</v>
      </c>
    </row>
    <row r="3" spans="1:9" x14ac:dyDescent="0.3">
      <c r="A3" s="4" t="s">
        <v>29</v>
      </c>
      <c r="B3" s="4">
        <v>1.1000000000000001</v>
      </c>
      <c r="C3" s="4">
        <v>2</v>
      </c>
      <c r="D3" s="4">
        <v>2</v>
      </c>
      <c r="E3" s="4">
        <v>2</v>
      </c>
      <c r="F3" s="4">
        <v>2</v>
      </c>
      <c r="G3" s="4">
        <v>2</v>
      </c>
      <c r="H3" s="4">
        <v>2</v>
      </c>
    </row>
    <row r="4" spans="1:9" x14ac:dyDescent="0.3">
      <c r="A4" s="4" t="s">
        <v>29</v>
      </c>
      <c r="B4" s="4" t="s">
        <v>27</v>
      </c>
      <c r="C4" s="4">
        <v>2</v>
      </c>
      <c r="D4" s="4">
        <v>2</v>
      </c>
      <c r="E4" s="4">
        <v>2</v>
      </c>
      <c r="F4" s="4">
        <v>2</v>
      </c>
      <c r="G4" s="4">
        <v>2</v>
      </c>
      <c r="H4" s="4">
        <v>2</v>
      </c>
    </row>
    <row r="5" spans="1:9" x14ac:dyDescent="0.3">
      <c r="A5" s="4" t="s">
        <v>29</v>
      </c>
      <c r="B5" s="4" t="s">
        <v>27</v>
      </c>
      <c r="C5" s="4">
        <v>2</v>
      </c>
      <c r="D5" s="4">
        <v>2</v>
      </c>
      <c r="E5" s="4">
        <v>2</v>
      </c>
      <c r="F5" s="4">
        <v>2</v>
      </c>
      <c r="G5" s="4">
        <v>2</v>
      </c>
      <c r="H5" s="4">
        <v>2</v>
      </c>
    </row>
    <row r="6" spans="1:9" x14ac:dyDescent="0.3">
      <c r="A6" s="4" t="s">
        <v>29</v>
      </c>
      <c r="B6" s="4" t="s">
        <v>27</v>
      </c>
      <c r="C6" s="4">
        <v>2</v>
      </c>
      <c r="D6" s="4">
        <v>2</v>
      </c>
      <c r="E6" s="4">
        <v>2</v>
      </c>
      <c r="F6" s="4">
        <v>2</v>
      </c>
      <c r="G6" s="4">
        <v>2</v>
      </c>
      <c r="H6" s="4">
        <v>2</v>
      </c>
    </row>
    <row r="7" spans="1:9" x14ac:dyDescent="0.3">
      <c r="A7" s="4" t="s">
        <v>29</v>
      </c>
      <c r="B7" s="4" t="s">
        <v>27</v>
      </c>
      <c r="C7" s="4">
        <v>2</v>
      </c>
      <c r="D7" s="4">
        <v>2</v>
      </c>
      <c r="E7" s="4">
        <v>2</v>
      </c>
      <c r="F7" s="4">
        <v>2</v>
      </c>
      <c r="G7" s="4">
        <v>2</v>
      </c>
      <c r="H7" s="4">
        <v>2</v>
      </c>
    </row>
    <row r="8" spans="1:9" x14ac:dyDescent="0.3">
      <c r="A8" s="4" t="s">
        <v>29</v>
      </c>
      <c r="B8" s="4" t="s">
        <v>27</v>
      </c>
      <c r="C8" s="4">
        <v>2</v>
      </c>
      <c r="D8" s="4">
        <v>2</v>
      </c>
      <c r="E8" s="4">
        <v>2</v>
      </c>
      <c r="F8" s="4">
        <v>2</v>
      </c>
      <c r="G8" s="4">
        <v>2</v>
      </c>
      <c r="H8" s="4">
        <v>2</v>
      </c>
    </row>
    <row r="9" spans="1:9" x14ac:dyDescent="0.3">
      <c r="A9" s="4" t="s">
        <v>29</v>
      </c>
      <c r="B9" s="4" t="s">
        <v>27</v>
      </c>
      <c r="C9" s="4">
        <v>2</v>
      </c>
      <c r="D9" s="4">
        <v>2</v>
      </c>
      <c r="E9" s="4">
        <v>2</v>
      </c>
      <c r="F9" s="4">
        <v>2</v>
      </c>
      <c r="G9" s="4">
        <v>2</v>
      </c>
      <c r="H9" s="4">
        <v>2</v>
      </c>
    </row>
    <row r="10" spans="1:9" x14ac:dyDescent="0.3">
      <c r="A10" s="4" t="s">
        <v>29</v>
      </c>
      <c r="B10" s="4" t="s">
        <v>27</v>
      </c>
      <c r="C10" s="4">
        <v>2</v>
      </c>
      <c r="D10" s="4">
        <v>2</v>
      </c>
      <c r="E10" s="4">
        <v>2</v>
      </c>
      <c r="F10" s="4">
        <v>2</v>
      </c>
      <c r="G10" s="4">
        <v>2</v>
      </c>
      <c r="H10" s="4">
        <v>2</v>
      </c>
    </row>
    <row r="11" spans="1:9" x14ac:dyDescent="0.3">
      <c r="A11" s="4" t="s">
        <v>29</v>
      </c>
      <c r="B11" s="4" t="s">
        <v>27</v>
      </c>
      <c r="C11" s="4">
        <v>2</v>
      </c>
      <c r="D11" s="4">
        <v>2</v>
      </c>
      <c r="E11" s="4">
        <v>2</v>
      </c>
      <c r="F11" s="4">
        <v>2</v>
      </c>
      <c r="G11" s="4">
        <v>2</v>
      </c>
      <c r="H11" s="4">
        <v>2</v>
      </c>
    </row>
    <row r="12" spans="1:9" x14ac:dyDescent="0.3">
      <c r="A12" s="4" t="s">
        <v>29</v>
      </c>
      <c r="B12" s="4" t="s">
        <v>27</v>
      </c>
      <c r="C12" s="4">
        <v>2</v>
      </c>
      <c r="D12" s="4">
        <v>2</v>
      </c>
      <c r="E12" s="4">
        <v>2</v>
      </c>
      <c r="F12" s="4">
        <v>2</v>
      </c>
      <c r="G12" s="4">
        <v>2</v>
      </c>
      <c r="H12" s="4">
        <v>2</v>
      </c>
    </row>
    <row r="13" spans="1:9" x14ac:dyDescent="0.3">
      <c r="A13" s="4" t="s">
        <v>29</v>
      </c>
      <c r="B13" s="4" t="s">
        <v>27</v>
      </c>
      <c r="C13" s="4">
        <v>2</v>
      </c>
      <c r="D13" s="4">
        <v>2</v>
      </c>
      <c r="E13" s="4">
        <v>2</v>
      </c>
      <c r="F13" s="4">
        <v>2</v>
      </c>
      <c r="G13" s="4">
        <v>2</v>
      </c>
      <c r="H13" s="4">
        <v>2</v>
      </c>
    </row>
    <row r="14" spans="1:9" x14ac:dyDescent="0.3">
      <c r="A14" s="4" t="s">
        <v>29</v>
      </c>
      <c r="B14" s="4" t="s">
        <v>27</v>
      </c>
      <c r="C14" s="4">
        <v>2</v>
      </c>
      <c r="D14" s="4">
        <v>2</v>
      </c>
      <c r="E14" s="4">
        <v>2</v>
      </c>
      <c r="F14" s="4">
        <v>2</v>
      </c>
      <c r="G14" s="4">
        <v>2</v>
      </c>
      <c r="H14" s="4">
        <v>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etour">
                <anchor moveWithCells="1">
                  <from>
                    <xdr:col>9</xdr:col>
                    <xdr:colOff>784860</xdr:colOff>
                    <xdr:row>1</xdr:row>
                    <xdr:rowOff>0</xdr:rowOff>
                  </from>
                  <to>
                    <xdr:col>12</xdr:col>
                    <xdr:colOff>525780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Accueil</vt:lpstr>
      <vt:lpstr>Dashboard</vt:lpstr>
      <vt:lpstr>Traitement_Dashboard</vt:lpstr>
      <vt:lpstr>Historique_producteur</vt:lpstr>
      <vt:lpstr>Historique_consommateur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Léo Gabet</dc:creator>
  <cp:lastModifiedBy>Léo Gabet</cp:lastModifiedBy>
  <dcterms:created xsi:type="dcterms:W3CDTF">2023-10-14T11:45:31Z</dcterms:created>
  <dcterms:modified xsi:type="dcterms:W3CDTF">2023-11-19T22:48:25Z</dcterms:modified>
</cp:coreProperties>
</file>