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reimsfr-my.sharepoint.com/personal/carlos-edson-brumale_kpadonou_etudiant_univ-reims_fr/Documents/Documents/M2 SEP/Projet_digital_pers/Projet_digital/src/interfaces/"/>
    </mc:Choice>
  </mc:AlternateContent>
  <xr:revisionPtr revIDLastSave="5" documentId="13_ncr:1_{F440FB8D-9B99-4BDA-AC5E-416F0FDC6D6B}" xr6:coauthVersionLast="47" xr6:coauthVersionMax="47" xr10:uidLastSave="{E2CF9274-35C5-4ECA-B4C4-765AC5896910}"/>
  <bookViews>
    <workbookView xWindow="-120" yWindow="-120" windowWidth="24240" windowHeight="13140" tabRatio="674" xr2:uid="{00000000-000D-0000-FFFF-FFFF00000000}"/>
  </bookViews>
  <sheets>
    <sheet name="Accueil" sheetId="2" r:id="rId1"/>
    <sheet name="dashboard_consommateur" sheetId="6" r:id="rId2"/>
    <sheet name="dashboard_producteur" sheetId="8" r:id="rId3"/>
    <sheet name="données_2" sheetId="7" r:id="rId4"/>
    <sheet name="Dashboard" sheetId="4" state="hidden" r:id="rId5"/>
    <sheet name="Traitement_Dashboard" sheetId="3" state="hidden" r:id="rId6"/>
    <sheet name="Historique_producteur" sheetId="1" state="hidden" r:id="rId7"/>
    <sheet name="Historique_consommateur" sheetId="5" state="hidden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D2" i="7"/>
  <c r="B8" i="7" s="1"/>
  <c r="B10" i="7" s="1"/>
  <c r="A17" i="7" l="1"/>
  <c r="B8" i="3" l="1"/>
  <c r="B10" i="3" s="1"/>
</calcChain>
</file>

<file path=xl/sharedStrings.xml><?xml version="1.0" encoding="utf-8"?>
<sst xmlns="http://schemas.openxmlformats.org/spreadsheetml/2006/main" count="64" uniqueCount="35">
  <si>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</si>
  <si>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</si>
  <si>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</si>
  <si>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</si>
  <si>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</si>
  <si>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</si>
  <si>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</si>
  <si>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</si>
  <si>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</si>
  <si>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</si>
  <si>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</si>
  <si>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</si>
  <si>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</si>
  <si>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</si>
  <si>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</si>
  <si>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</si>
  <si>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</si>
  <si>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</si>
  <si>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</si>
  <si>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</si>
  <si>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</si>
  <si>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</si>
  <si>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</si>
  <si>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</si>
  <si>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</si>
  <si>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</si>
  <si>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>test conso</t>
  </si>
  <si>
    <t>1,1</t>
  </si>
  <si>
    <t xml:space="preserve">Protéines </t>
  </si>
  <si>
    <t>test 2</t>
  </si>
  <si>
    <t>test prod</t>
  </si>
  <si>
    <t xml:space="preserve">test valeur </t>
  </si>
  <si>
    <t>Commentaire selon le résultat :</t>
  </si>
  <si>
    <t>Top 3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</si>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</sst>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  <font>
      <sz val="11"/>
      <color theme="1"/>
      <name val="Calibri"/>
      <family val="2"/>
      <scheme val="minor"/>
    </font>
    <font>
      <sz val="13"/>
      <color rgb="FF4F595F"/>
      <name val="Courier New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0FF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4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0" fillId="0" borderId="4" xfId="0" applyBorder="1"/>
    <xf numFmtId="0" fontId="0" fillId="3" borderId="5" xfId="0" applyFill="1" applyBorder="1"/>
    <xf numFmtId="9" fontId="0" fillId="3" borderId="5" xfId="0" applyNumberFormat="1" applyFill="1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4" borderId="5" xfId="0" applyFill="1" applyBorder="1"/>
    <xf numFmtId="9" fontId="0" fillId="0" borderId="5" xfId="1" applyFont="1" applyBorder="1"/>
    <xf numFmtId="0" fontId="0" fillId="5" borderId="14" xfId="0" applyFill="1" applyBorder="1"/>
    <xf numFmtId="0" fontId="0" fillId="0" borderId="14" xfId="0" applyBorder="1"/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60-4966-8F13-48C9505E430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60-4966-8F13-48C9505E4308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60-4966-8F13-48C9505E4308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A60-4966-8F13-48C9505E4308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60-4966-8F13-48C9505E4308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A60-4966-8F13-48C9505E4308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A60-4966-8F13-48C9505E430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A60-4966-8F13-48C9505E430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A60-4966-8F13-48C9505E4308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C6-4228-8340-C9C627D81E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C6-4228-8340-C9C627D81E2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C6-4228-8340-C9C627D81E2D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C6-4228-8340-C9C627D81E2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C6-4228-8340-C9C627D81E2D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C6-4228-8340-C9C627D81E2D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C6-4228-8340-C9C627D81E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C6-4228-8340-C9C627D81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AA-407B-B071-7C89A8FB051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07B-B071-7C89A8FB0511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07B-B071-7C89A8FB051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07B-B071-7C89A8FB051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AA-407B-B071-7C89A8FB051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AA-407B-B071-7C89A8FB0511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AA-407B-B071-7C89A8FB051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AAA-407B-B071-7C89A8FB051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AA-407B-B071-7C89A8FB0511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67-420A-B1BD-71AB906C6D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67-420A-B1BD-71AB906C6D7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67-420A-B1BD-71AB906C6D75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67-420A-B1BD-71AB906C6D7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67-420A-B1BD-71AB906C6D75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67-420A-B1BD-71AB906C6D75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67-420A-B1BD-71AB906C6D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67-420A-B1BD-71AB906C6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[5]Feuil1!$B$1:$B$6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noThreeD="1" sel="0" val="0"/>
</file>

<file path=xl/ctrlProps/ctrlProp4.xml><?xml version="1.0" encoding="utf-8"?>
<formControlPr xmlns="http://schemas.microsoft.com/office/spreadsheetml/2009/9/main" objectType="Drop" dropStyle="combo" dx="15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781050</xdr:colOff>
          <xdr:row>7</xdr:row>
          <xdr:rowOff>19050</xdr:rowOff>
        </xdr:from>
        <xdr:to>
          <xdr:col>11</xdr:col>
          <xdr:colOff>9525</xdr:colOff>
          <xdr:row>11</xdr:row>
          <xdr:rowOff>9525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749300" y="825500"/>
          <a:ext cx="13777686" cy="3403600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5515429" y="4292600"/>
          <a:ext cx="8998857" cy="3683000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774700" y="4318000"/>
          <a:ext cx="4626429" cy="2895600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420620" y="7035800"/>
          <a:ext cx="4759960" cy="123952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699000" y="16510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2684780" y="2491740"/>
          <a:ext cx="122936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7218680" y="6141720"/>
          <a:ext cx="1226820" cy="510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2280920" y="5488940"/>
          <a:ext cx="148082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12</xdr:col>
          <xdr:colOff>647700</xdr:colOff>
          <xdr:row>3</xdr:row>
          <xdr:rowOff>142875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116840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10940" y="7146394"/>
          <a:ext cx="2075180" cy="968905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9300" y="825500"/>
          <a:ext cx="13666355" cy="3403600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478318" y="4292600"/>
          <a:ext cx="8924637" cy="3683000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2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2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2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774700" y="4318000"/>
          <a:ext cx="4589318" cy="2895600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774700" y="6502400"/>
          <a:ext cx="4759960" cy="114808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3053080" y="165100"/>
          <a:ext cx="7658100" cy="566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038860" y="2308860"/>
          <a:ext cx="122936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5572760" y="5669280"/>
          <a:ext cx="122682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35000" y="5077460"/>
          <a:ext cx="148082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13</xdr:col>
          <xdr:colOff>9525</xdr:colOff>
          <xdr:row>3</xdr:row>
          <xdr:rowOff>142875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208280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65020" y="6597754"/>
          <a:ext cx="2166620" cy="968905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</xdr:row>
          <xdr:rowOff>171450</xdr:rowOff>
        </xdr:from>
        <xdr:to>
          <xdr:col>13</xdr:col>
          <xdr:colOff>209550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781050</xdr:colOff>
          <xdr:row>1</xdr:row>
          <xdr:rowOff>0</xdr:rowOff>
        </xdr:from>
        <xdr:to>
          <xdr:col>12</xdr:col>
          <xdr:colOff>523875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onn&#233;e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.xlsm" TargetMode="External"/><Relationship Id="rId1" Type="http://schemas.openxmlformats.org/officeDocument/2006/relationships/externalLinkPath" Target="/Users/33662/Downloads/dashboard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"/>
      <sheetName val="Données"/>
    </sheetNames>
    <sheetDataSet>
      <sheetData sheetId="0" refreshError="1"/>
      <sheetData sheetId="1" refreshError="1"/>
      <sheetData sheetId="2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  <row r="8">
          <cell r="B8">
            <v>90</v>
          </cell>
        </row>
        <row r="9">
          <cell r="B9">
            <v>1.5</v>
          </cell>
        </row>
        <row r="10">
          <cell r="B10">
            <v>108.5</v>
          </cell>
        </row>
        <row r="13">
          <cell r="A13" t="str">
            <v>E</v>
          </cell>
          <cell r="B13" t="str">
            <v>D</v>
          </cell>
          <cell r="C13" t="str">
            <v>C</v>
          </cell>
          <cell r="D13" t="str">
            <v>B</v>
          </cell>
          <cell r="E13" t="str">
            <v>A</v>
          </cell>
        </row>
        <row r="14">
          <cell r="A14">
            <v>0.8</v>
          </cell>
          <cell r="B14">
            <v>0.1</v>
          </cell>
          <cell r="C14">
            <v>0.1</v>
          </cell>
          <cell r="D14">
            <v>0</v>
          </cell>
          <cell r="E1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L17" sqref="L17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781050</xdr:colOff>
                    <xdr:row>7</xdr:row>
                    <xdr:rowOff>19050</xdr:rowOff>
                  </from>
                  <to>
                    <xdr:col>11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1B8CD-CC4F-4B5F-8C12-5CC746120F4D}">
  <sheetPr codeName="Feuil6"/>
  <dimension ref="A29:A30"/>
  <sheetViews>
    <sheetView topLeftCell="A4" zoomScale="70" zoomScaleNormal="70" workbookViewId="0">
      <selection activeCell="A4" sqref="A1:XFD1048576"/>
    </sheetView>
  </sheetViews>
  <sheetFormatPr baseColWidth="10" defaultColWidth="12" defaultRowHeight="15" x14ac:dyDescent="0.25"/>
  <cols>
    <col min="1" max="16384" width="12" style="7"/>
  </cols>
  <sheetData>
    <row r="29" s="7" customFormat="1" x14ac:dyDescent="0.25"/>
    <row r="30" s="7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12</xdr:col>
                    <xdr:colOff>647700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356-9BFD-4147-8F66-C4EE3CA9409D}">
  <sheetPr codeName="Feuil8"/>
  <dimension ref="A29:A30"/>
  <sheetViews>
    <sheetView zoomScale="55" zoomScaleNormal="55" workbookViewId="0">
      <selection activeCell="A8" sqref="A8"/>
    </sheetView>
  </sheetViews>
  <sheetFormatPr baseColWidth="10" defaultColWidth="12" defaultRowHeight="15" x14ac:dyDescent="0.25"/>
  <cols>
    <col min="1" max="16384" width="12" style="7"/>
  </cols>
  <sheetData>
    <row r="29" s="7" customFormat="1" x14ac:dyDescent="0.25"/>
    <row r="30" s="7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13</xdr:col>
                    <xdr:colOff>9525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5362-9A1B-41EB-B6A2-08D2C414AE47}">
  <sheetPr codeName="Feuil7"/>
  <dimension ref="A1:H23"/>
  <sheetViews>
    <sheetView workbookViewId="0">
      <selection activeCell="A15" sqref="A15"/>
    </sheetView>
  </sheetViews>
  <sheetFormatPr baseColWidth="10" defaultRowHeight="15" x14ac:dyDescent="0.25"/>
  <cols>
    <col min="1" max="1" width="15.28515625" customWidth="1"/>
    <col min="2" max="2" width="14.140625" customWidth="1"/>
    <col min="5" max="5" width="21.28515625" customWidth="1"/>
  </cols>
  <sheetData>
    <row r="1" spans="1:8" x14ac:dyDescent="0.25">
      <c r="A1" t="s">
        <v>11</v>
      </c>
      <c r="B1" s="8">
        <v>20</v>
      </c>
      <c r="D1" s="9" t="s">
        <v>12</v>
      </c>
    </row>
    <row r="2" spans="1:8" x14ac:dyDescent="0.25">
      <c r="A2" t="s">
        <v>13</v>
      </c>
      <c r="B2" s="8">
        <v>20</v>
      </c>
      <c r="D2" s="10" t="str">
        <f>INDEX(A13:E14,1,MATCH(MAX(A14:E14),A14:E14,0))</f>
        <v>C</v>
      </c>
    </row>
    <row r="3" spans="1:8" x14ac:dyDescent="0.25">
      <c r="A3" t="s">
        <v>14</v>
      </c>
      <c r="B3" s="8">
        <v>20</v>
      </c>
      <c r="D3" s="10">
        <f>MAX(A14:E14)</f>
        <v>0.8</v>
      </c>
    </row>
    <row r="4" spans="1:8" x14ac:dyDescent="0.25">
      <c r="A4" t="s">
        <v>15</v>
      </c>
      <c r="B4" s="8">
        <v>20</v>
      </c>
    </row>
    <row r="5" spans="1:8" x14ac:dyDescent="0.25">
      <c r="A5" t="s">
        <v>16</v>
      </c>
      <c r="B5" s="8">
        <v>20</v>
      </c>
    </row>
    <row r="6" spans="1:8" x14ac:dyDescent="0.25">
      <c r="A6" t="s">
        <v>17</v>
      </c>
      <c r="B6" s="8">
        <v>100</v>
      </c>
    </row>
    <row r="7" spans="1:8" x14ac:dyDescent="0.25">
      <c r="B7" s="8"/>
    </row>
    <row r="8" spans="1:8" x14ac:dyDescent="0.25">
      <c r="A8" t="s">
        <v>18</v>
      </c>
      <c r="B8" s="8">
        <f>IF(D2="A",10,IF(D2="B",30,IF(D2="C",50,IF(D2="D",70,IF(D2="E",90)))))</f>
        <v>50</v>
      </c>
    </row>
    <row r="9" spans="1:8" ht="17.25" x14ac:dyDescent="0.3">
      <c r="A9" t="s">
        <v>19</v>
      </c>
      <c r="B9" s="8">
        <v>1.5</v>
      </c>
      <c r="F9" s="11"/>
    </row>
    <row r="10" spans="1:8" x14ac:dyDescent="0.25">
      <c r="A10" s="12" t="s">
        <v>20</v>
      </c>
      <c r="B10" s="13">
        <f>200-B8-B9</f>
        <v>148.5</v>
      </c>
    </row>
    <row r="13" spans="1:8" x14ac:dyDescent="0.25">
      <c r="A13" s="14" t="s">
        <v>16</v>
      </c>
      <c r="B13" s="14" t="s">
        <v>15</v>
      </c>
      <c r="C13" s="14" t="s">
        <v>14</v>
      </c>
      <c r="D13" s="14" t="s">
        <v>13</v>
      </c>
      <c r="E13" s="14" t="s">
        <v>11</v>
      </c>
    </row>
    <row r="14" spans="1:8" x14ac:dyDescent="0.25">
      <c r="A14" s="15">
        <v>0.1</v>
      </c>
      <c r="B14" s="15">
        <v>0.1</v>
      </c>
      <c r="C14" s="15">
        <v>0.8</v>
      </c>
      <c r="D14" s="15">
        <v>0</v>
      </c>
      <c r="E14" s="15">
        <v>0</v>
      </c>
    </row>
    <row r="15" spans="1:8" ht="15.75" thickBot="1" x14ac:dyDescent="0.3"/>
    <row r="16" spans="1:8" x14ac:dyDescent="0.25">
      <c r="A16" s="18" t="s">
        <v>32</v>
      </c>
      <c r="B16" s="19"/>
      <c r="C16" s="19"/>
      <c r="D16" s="19"/>
      <c r="E16" s="19"/>
      <c r="F16" s="19"/>
      <c r="G16" s="19"/>
      <c r="H16" s="20"/>
    </row>
    <row r="17" spans="1:8" ht="15.75" thickBot="1" x14ac:dyDescent="0.3">
      <c r="A17" s="21" t="str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 xml:space="preserve"> C'est correct, mais il y a de meilleures options pour votre santé.</v>
      </c>
      <c r="B17" s="22"/>
      <c r="C17" s="22"/>
      <c r="D17" s="22"/>
      <c r="E17" s="22"/>
      <c r="F17" s="22"/>
      <c r="G17" s="22"/>
      <c r="H17" s="23"/>
    </row>
    <row r="20" spans="1:8" x14ac:dyDescent="0.25">
      <c r="E20" s="16" t="s">
        <v>33</v>
      </c>
    </row>
    <row r="21" spans="1:8" x14ac:dyDescent="0.25">
      <c r="E21" s="17" t="s">
        <v>1</v>
      </c>
    </row>
    <row r="22" spans="1:8" x14ac:dyDescent="0.25">
      <c r="E22" s="17" t="s">
        <v>2</v>
      </c>
    </row>
    <row r="23" spans="1:8" x14ac:dyDescent="0.25">
      <c r="E23" s="17" t="s">
        <v>4</v>
      </c>
    </row>
  </sheetData>
  <mergeCells count="2">
    <mergeCell ref="A16:H16"/>
    <mergeCell ref="A17:H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E12" sqref="E1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5" x14ac:dyDescent="0.25"/>
  <sheetData>
    <row r="1" spans="1:4" x14ac:dyDescent="0.25">
      <c r="A1" t="s">
        <v>11</v>
      </c>
      <c r="B1">
        <v>20</v>
      </c>
      <c r="D1" t="s">
        <v>12</v>
      </c>
    </row>
    <row r="2" spans="1:4" x14ac:dyDescent="0.25">
      <c r="A2" t="s">
        <v>13</v>
      </c>
      <c r="B2">
        <v>20</v>
      </c>
    </row>
    <row r="3" spans="1:4" x14ac:dyDescent="0.25">
      <c r="A3" t="s">
        <v>14</v>
      </c>
      <c r="B3">
        <v>20</v>
      </c>
    </row>
    <row r="4" spans="1:4" x14ac:dyDescent="0.25">
      <c r="A4" t="s">
        <v>15</v>
      </c>
      <c r="B4">
        <v>20</v>
      </c>
    </row>
    <row r="5" spans="1:4" x14ac:dyDescent="0.25">
      <c r="A5" t="s">
        <v>16</v>
      </c>
      <c r="B5">
        <v>20</v>
      </c>
    </row>
    <row r="6" spans="1:4" x14ac:dyDescent="0.25">
      <c r="A6" t="s">
        <v>17</v>
      </c>
      <c r="B6">
        <v>100</v>
      </c>
    </row>
    <row r="8" spans="1:4" x14ac:dyDescent="0.25">
      <c r="A8" t="s">
        <v>18</v>
      </c>
      <c r="B8" t="b">
        <f>IF(D2="A",10,IF(D2="B",30,IF(D2="C",50,IF(D2="D",70,IF(D2="E",90)))))</f>
        <v>0</v>
      </c>
    </row>
    <row r="9" spans="1:4" x14ac:dyDescent="0.25">
      <c r="A9" t="s">
        <v>19</v>
      </c>
      <c r="B9">
        <v>1.5</v>
      </c>
    </row>
    <row r="10" spans="1:4" x14ac:dyDescent="0.25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5"/>
  <sheetViews>
    <sheetView workbookViewId="0">
      <selection activeCell="C7" sqref="C7"/>
    </sheetView>
  </sheetViews>
  <sheetFormatPr baseColWidth="10" defaultColWidth="11.5703125" defaultRowHeight="15" x14ac:dyDescent="0.25"/>
  <cols>
    <col min="1" max="1" width="15" style="3" bestFit="1" customWidth="1"/>
    <col min="2" max="2" width="8" style="6" bestFit="1" customWidth="1"/>
    <col min="3" max="3" width="15.7109375" style="6" bestFit="1" customWidth="1"/>
    <col min="4" max="4" width="21.7109375" style="6" bestFit="1" customWidth="1"/>
    <col min="5" max="5" width="26.7109375" style="6" bestFit="1" customWidth="1"/>
    <col min="6" max="6" width="11" style="6" bestFit="1" customWidth="1"/>
    <col min="7" max="7" width="6.140625" style="6" bestFit="1" customWidth="1"/>
    <col min="8" max="8" width="8.5703125" style="6" bestFit="1" customWidth="1"/>
    <col min="9" max="9" width="6.5703125" style="6" bestFit="1" customWidth="1"/>
    <col min="10" max="10" width="10.7109375" style="6" bestFit="1" customWidth="1"/>
    <col min="11" max="11" width="10.42578125" style="6" bestFit="1" customWidth="1"/>
    <col min="12" max="12" width="8.140625" style="6" bestFit="1" customWidth="1"/>
    <col min="13" max="13" width="7.85546875" style="3" bestFit="1" customWidth="1"/>
    <col min="14" max="14" width="4.28515625" style="3" bestFit="1" customWidth="1"/>
    <col min="15" max="15" width="18.28515625" style="3" bestFit="1" customWidth="1"/>
    <col min="16" max="16384" width="11.5703125" style="3"/>
  </cols>
  <sheetData>
    <row r="1" spans="1:15" ht="16.5" thickTop="1" thickBot="1" x14ac:dyDescent="0.3">
      <c r="A1" s="1" t="s">
        <v>0</v>
      </c>
      <c r="B1" s="4" t="s">
        <v>3</v>
      </c>
      <c r="C1" s="4" t="s">
        <v>4</v>
      </c>
      <c r="D1" s="4" t="s">
        <v>5</v>
      </c>
      <c r="E1" s="5" t="s">
        <v>21</v>
      </c>
      <c r="F1" s="5" t="s">
        <v>6</v>
      </c>
      <c r="G1" s="5" t="s">
        <v>1</v>
      </c>
      <c r="H1" s="5" t="s">
        <v>25</v>
      </c>
      <c r="I1" s="5" t="s">
        <v>7</v>
      </c>
      <c r="J1" s="5" t="s">
        <v>24</v>
      </c>
      <c r="K1" s="5" t="s">
        <v>8</v>
      </c>
      <c r="L1" s="5" t="s">
        <v>23</v>
      </c>
      <c r="M1" s="2" t="s">
        <v>22</v>
      </c>
      <c r="N1" s="2" t="s">
        <v>9</v>
      </c>
      <c r="O1" s="2" t="s">
        <v>10</v>
      </c>
    </row>
    <row r="2" spans="1:15" ht="15.75" thickTop="1" x14ac:dyDescent="0.25">
      <c r="A2" s="3" t="s">
        <v>30</v>
      </c>
      <c r="B2" s="6">
        <v>1.1000000000000001</v>
      </c>
      <c r="C2" s="6">
        <v>2</v>
      </c>
      <c r="D2" s="6">
        <v>2</v>
      </c>
      <c r="E2" s="6">
        <v>3</v>
      </c>
      <c r="F2" s="6">
        <v>4</v>
      </c>
      <c r="G2" s="6">
        <v>2</v>
      </c>
      <c r="H2" s="6">
        <v>2</v>
      </c>
      <c r="I2" s="6">
        <v>5</v>
      </c>
      <c r="J2" s="6">
        <v>8</v>
      </c>
      <c r="K2" s="6">
        <v>6</v>
      </c>
      <c r="L2" s="6">
        <v>12</v>
      </c>
      <c r="M2" s="3">
        <v>9</v>
      </c>
      <c r="N2" s="3">
        <v>11</v>
      </c>
    </row>
    <row r="3" spans="1:15" x14ac:dyDescent="0.25">
      <c r="A3" s="3" t="s">
        <v>30</v>
      </c>
      <c r="B3" s="6">
        <v>1.1000000000000001</v>
      </c>
      <c r="C3" s="6">
        <v>2</v>
      </c>
      <c r="D3" s="6">
        <v>2</v>
      </c>
      <c r="E3" s="6">
        <v>3</v>
      </c>
      <c r="F3" s="6">
        <v>4</v>
      </c>
      <c r="G3" s="6">
        <v>2</v>
      </c>
      <c r="H3" s="6">
        <v>2</v>
      </c>
      <c r="I3" s="6">
        <v>5</v>
      </c>
      <c r="J3" s="6">
        <v>8</v>
      </c>
      <c r="K3" s="6">
        <v>6</v>
      </c>
      <c r="L3" s="6">
        <v>12</v>
      </c>
      <c r="M3" s="3">
        <v>9</v>
      </c>
      <c r="N3" s="3">
        <v>11</v>
      </c>
    </row>
    <row r="4" spans="1:15" x14ac:dyDescent="0.25">
      <c r="A4" s="3" t="s">
        <v>31</v>
      </c>
      <c r="B4" s="6">
        <v>1.1000000000000001</v>
      </c>
      <c r="C4" s="6">
        <v>2</v>
      </c>
      <c r="D4" s="6">
        <v>3</v>
      </c>
      <c r="E4" s="6">
        <v>6</v>
      </c>
      <c r="F4" s="6">
        <v>7</v>
      </c>
      <c r="G4" s="6">
        <v>4</v>
      </c>
      <c r="H4" s="6">
        <v>5</v>
      </c>
      <c r="I4" s="6">
        <v>8</v>
      </c>
      <c r="J4" s="6">
        <v>2</v>
      </c>
      <c r="K4" s="6">
        <v>9</v>
      </c>
      <c r="L4" s="6">
        <v>6</v>
      </c>
      <c r="M4" s="3">
        <v>2</v>
      </c>
      <c r="N4" s="3">
        <v>2</v>
      </c>
    </row>
    <row r="5" spans="1:15" x14ac:dyDescent="0.25">
      <c r="A5" s="3" t="s">
        <v>34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10</v>
      </c>
      <c r="M5" s="3">
        <v>1</v>
      </c>
      <c r="N5" s="3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9</xdr:col>
                    <xdr:colOff>647700</xdr:colOff>
                    <xdr:row>5</xdr:row>
                    <xdr:rowOff>171450</xdr:rowOff>
                  </from>
                  <to>
                    <xdr:col>13</xdr:col>
                    <xdr:colOff>209550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I6"/>
  <sheetViews>
    <sheetView zoomScale="70" zoomScaleNormal="70" workbookViewId="0">
      <selection activeCell="M7" sqref="M7"/>
    </sheetView>
  </sheetViews>
  <sheetFormatPr baseColWidth="10" defaultColWidth="11.5703125" defaultRowHeight="15" x14ac:dyDescent="0.25"/>
  <cols>
    <col min="1" max="1" width="15.140625" style="3" customWidth="1"/>
    <col min="2" max="2" width="11.5703125" style="6"/>
    <col min="3" max="3" width="19.28515625" style="6" customWidth="1"/>
    <col min="4" max="4" width="25" style="6" customWidth="1"/>
    <col min="5" max="8" width="11.5703125" style="6"/>
    <col min="9" max="9" width="19.28515625" style="3" customWidth="1"/>
    <col min="10" max="16384" width="11.5703125" style="3"/>
  </cols>
  <sheetData>
    <row r="1" spans="1:9" ht="16.5" thickTop="1" thickBot="1" x14ac:dyDescent="0.3">
      <c r="A1" s="1" t="s">
        <v>0</v>
      </c>
      <c r="B1" s="4" t="s">
        <v>3</v>
      </c>
      <c r="C1" s="4" t="s">
        <v>4</v>
      </c>
      <c r="D1" s="4" t="s">
        <v>5</v>
      </c>
      <c r="E1" s="5" t="s">
        <v>1</v>
      </c>
      <c r="F1" s="5" t="s">
        <v>25</v>
      </c>
      <c r="G1" s="5" t="s">
        <v>2</v>
      </c>
      <c r="H1" s="5" t="s">
        <v>28</v>
      </c>
      <c r="I1" s="2" t="s">
        <v>10</v>
      </c>
    </row>
    <row r="2" spans="1:9" ht="15.75" thickTop="1" x14ac:dyDescent="0.25">
      <c r="A2" s="3" t="s">
        <v>26</v>
      </c>
      <c r="B2" s="6">
        <v>1.1000000000000001</v>
      </c>
      <c r="C2" s="6">
        <v>2</v>
      </c>
      <c r="D2" s="6">
        <v>2</v>
      </c>
      <c r="E2" s="6">
        <v>2</v>
      </c>
      <c r="F2" s="6">
        <v>2</v>
      </c>
      <c r="G2" s="6">
        <v>2</v>
      </c>
      <c r="H2" s="6">
        <v>2</v>
      </c>
    </row>
    <row r="3" spans="1:9" x14ac:dyDescent="0.25">
      <c r="A3" s="3" t="s">
        <v>29</v>
      </c>
      <c r="B3" s="6">
        <v>1.1000000000000001</v>
      </c>
      <c r="C3" s="6">
        <v>2</v>
      </c>
      <c r="D3" s="6">
        <v>2</v>
      </c>
      <c r="E3" s="6">
        <v>2</v>
      </c>
      <c r="F3" s="6">
        <v>2</v>
      </c>
      <c r="G3" s="6">
        <v>2</v>
      </c>
      <c r="H3" s="6">
        <v>2</v>
      </c>
    </row>
    <row r="4" spans="1:9" x14ac:dyDescent="0.25">
      <c r="A4" s="3" t="s">
        <v>29</v>
      </c>
      <c r="B4" s="6">
        <v>1.1000000000000001</v>
      </c>
      <c r="C4" s="6">
        <v>2</v>
      </c>
      <c r="D4" s="6">
        <v>2</v>
      </c>
      <c r="E4" s="6">
        <v>2</v>
      </c>
      <c r="F4" s="6">
        <v>2</v>
      </c>
      <c r="G4" s="6">
        <v>2</v>
      </c>
      <c r="H4" s="6">
        <v>2</v>
      </c>
    </row>
    <row r="5" spans="1:9" x14ac:dyDescent="0.25">
      <c r="A5" s="3" t="s">
        <v>26</v>
      </c>
      <c r="B5" s="6">
        <v>1</v>
      </c>
      <c r="C5" s="6">
        <v>2</v>
      </c>
      <c r="D5" s="6">
        <v>2.2999999999999998</v>
      </c>
      <c r="E5" s="6">
        <v>2.5</v>
      </c>
      <c r="F5" s="6">
        <v>2</v>
      </c>
      <c r="G5" s="6">
        <v>2</v>
      </c>
      <c r="H5" s="6">
        <v>2</v>
      </c>
    </row>
    <row r="6" spans="1:9" x14ac:dyDescent="0.25">
      <c r="A6" s="3" t="s">
        <v>29</v>
      </c>
      <c r="B6" s="6" t="s">
        <v>27</v>
      </c>
      <c r="C6" s="6">
        <v>2</v>
      </c>
      <c r="D6" s="6">
        <v>2</v>
      </c>
      <c r="E6" s="6">
        <v>2</v>
      </c>
      <c r="F6" s="6">
        <v>2</v>
      </c>
      <c r="G6" s="6">
        <v>2</v>
      </c>
      <c r="H6" s="6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9</xdr:col>
                    <xdr:colOff>781050</xdr:colOff>
                    <xdr:row>1</xdr:row>
                    <xdr:rowOff>0</xdr:rowOff>
                  </from>
                  <to>
                    <xdr:col>12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dashboard_consommateur</vt:lpstr>
      <vt:lpstr>dashboard_producteur</vt:lpstr>
      <vt:lpstr>données_2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CARLOS EDSON BRUMALE KPADONOU</cp:lastModifiedBy>
  <dcterms:created xsi:type="dcterms:W3CDTF">2023-10-14T11:45:31Z</dcterms:created>
  <dcterms:modified xsi:type="dcterms:W3CDTF">2023-11-20T15:59:00Z</dcterms:modified>
</cp:coreProperties>
</file>