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50409AB0-4B09-45E5-A256-C0A297B1B44C}" xr6:coauthVersionLast="47" xr6:coauthVersionMax="47" xr10:uidLastSave="{00000000-0000-0000-0000-000000000000}"/>
  <bookViews>
    <workbookView xWindow="-108" yWindow="-108" windowWidth="23256" windowHeight="12456" tabRatio="776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Traitement" sheetId="7" r:id="rId4"/>
    <sheet name="Historique_producteur" sheetId="1" r:id="rId5"/>
    <sheet name="Historique_consommateur" sheetId="5" r:id="rId6"/>
  </sheets>
  <functionGroups builtInGroupCount="19"/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D2" i="7"/>
  <c r="A20" i="7" l="1"/>
  <c r="B8" i="7"/>
  <c r="B10" i="7" s="1"/>
  <c r="A17" i="7"/>
</calcChain>
</file>

<file path=xl/sharedStrings.xml><?xml version="1.0" encoding="utf-8"?>
<sst xmlns="http://schemas.openxmlformats.org/spreadsheetml/2006/main" count="75" uniqueCount="39">
  <si>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</si>
  <si>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</si>
  <si>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</si>
  <si>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</si>
  <si>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</si>
  <si>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</si>
  <si>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</si>
  <si>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</si>
  <si>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</si>
  <si>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</si>
  <si>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</si>
  <si>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</si>
  <si>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</si>
  <si>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</si>
  <si>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</si>
  <si>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</si>
  <si>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</si>
  <si>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</si>
  <si>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</si>
  <si>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</si>
  <si>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</si>
  <si>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</si>
  <si>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</si>
  <si>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</si>
  <si>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</si>
  <si>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</si>
  <si>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 xml:space="preserve">Protéines </t>
  </si>
  <si>
    <t>pate truffe</t>
  </si>
  <si>
    <t>Commentaire selon le résultat : (consommateur)</t>
  </si>
  <si>
    <t>Commentaire selon le résultat : (producteur)</t>
  </si>
  <si>
    <t>Top 3 (consommateur)</t>
  </si>
  <si>
    <t>Top 3 (producteur)</t>
  </si>
  <si>
    <t>Acide gras trans</t>
  </si>
  <si>
    <t>test V4</t>
  </si>
  <si>
    <t>Probabilité associé au résultat</t>
  </si>
  <si>
    <t>produit-1</t>
  </si>
  <si>
    <t>produit-2</t>
  </si>
  <si>
    <t xml:space="preserve">test conso </t>
  </si>
  <si>
    <t>produit-3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</si>
</sst>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800080"/>
        <bgColor indexed="64"/>
      </patternFill>
    </fill>
  </fills>
  <borders count="18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5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2" xfId="0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3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4" borderId="3" xfId="0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8" borderId="3" xfId="0" applyFill="1" applyBorder="1" applyAlignment="1">
      <alignment horizontal="center"/>
    </xf>
    <xf numFmtId="9" fontId="0" fillId="0" borderId="0" xfId="1" applyFont="1" applyAlignment="1">
      <alignment horizontal="center"/>
    </xf>
    <xf numFmtId="9" fontId="2" fillId="0" borderId="17" xfId="1" applyFont="1" applyBorder="1" applyAlignment="1">
      <alignment horizontal="center"/>
    </xf>
    <xf numFmtId="9" fontId="2" fillId="0" borderId="16" xfId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5-4503-A11B-16230470B6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5-4503-A11B-16230470B60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5-4503-A11B-16230470B60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5-4503-A11B-16230470B60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5-4503-A11B-16230470B60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5-4503-A11B-16230470B607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25-4503-A11B-16230470B6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25-4503-A11B-16230470B60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25-4503-A11B-16230470B607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10-41BD-8CEA-97B8C6C92A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10-41BD-8CEA-97B8C6C92A7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10-41BD-8CEA-97B8C6C92A7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10-41BD-8CEA-97B8C6C92A79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10-41BD-8CEA-97B8C6C92A79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10-41BD-8CEA-97B8C6C92A79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10-41BD-8CEA-97B8C6C92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25400" cap="flat" cmpd="sng" algn="ctr">
                  <a:solidFill>
                    <a:schemeClr val="tx1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0.35555555555555501</c:v>
                </c:pt>
                <c:pt idx="1">
                  <c:v>0.28888888888888797</c:v>
                </c:pt>
                <c:pt idx="2">
                  <c:v>0.34074074074074001</c:v>
                </c:pt>
                <c:pt idx="3">
                  <c:v>7.4074074074073999E-3</c:v>
                </c:pt>
                <c:pt idx="4">
                  <c:v>7.4074074074073999E-3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10-41BD-8CEA-97B8C6C9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E5-4D41-91F7-DA25C9BE7DE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E5-4D41-91F7-DA25C9BE7DE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E5-4D41-91F7-DA25C9BE7DE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E5-4D41-91F7-DA25C9BE7DE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AE5-4D41-91F7-DA25C9BE7DE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E5-4D41-91F7-DA25C9BE7DE9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AE5-4D41-91F7-DA25C9BE7DE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AE5-4D41-91F7-DA25C9BE7D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AE5-4D41-91F7-DA25C9BE7DE9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24-43B7-AFC9-83FE13A38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24-43B7-AFC9-83FE13A384C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24-43B7-AFC9-83FE13A384CA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24-43B7-AFC9-83FE13A384C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24-43B7-AFC9-83FE13A384CA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24-43B7-AFC9-83FE13A384CA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24-43B7-AFC9-83FE13A384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0.35555555555555501</c:v>
                </c:pt>
                <c:pt idx="1">
                  <c:v>0.28888888888888797</c:v>
                </c:pt>
                <c:pt idx="2">
                  <c:v>0.34074074074074001</c:v>
                </c:pt>
                <c:pt idx="3">
                  <c:v>7.4074074074073999E-3</c:v>
                </c:pt>
                <c:pt idx="4">
                  <c:v>7.4074074074073999E-3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24-43B7-AFC9-83FE13A3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6185" name="ZoneTexte 6184">
          <a:extLst>
            <a:ext uri="{FF2B5EF4-FFF2-40B4-BE49-F238E27FC236}">
              <a16:creationId xmlns:a16="http://schemas.microsoft.com/office/drawing/2014/main" id="{00000000-0008-0000-0100-00002918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6186" name="Groupe 6185">
          <a:extLst>
            <a:ext uri="{FF2B5EF4-FFF2-40B4-BE49-F238E27FC236}">
              <a16:creationId xmlns:a16="http://schemas.microsoft.com/office/drawing/2014/main" id="{00000000-0008-0000-0100-00002A180000}"/>
            </a:ext>
          </a:extLst>
        </xdr:cNvPr>
        <xdr:cNvGrpSpPr/>
      </xdr:nvGrpSpPr>
      <xdr:grpSpPr>
        <a:xfrm>
          <a:off x="139700" y="1817914"/>
          <a:ext cx="13044714" cy="3886200"/>
          <a:chOff x="139700" y="838200"/>
          <a:chExt cx="13017500" cy="4267200"/>
        </a:xfrm>
      </xdr:grpSpPr>
      <xdr:grpSp>
        <xdr:nvGrpSpPr>
          <xdr:cNvPr id="6187" name="Groupe 6186">
            <a:extLst>
              <a:ext uri="{FF2B5EF4-FFF2-40B4-BE49-F238E27FC236}">
                <a16:creationId xmlns:a16="http://schemas.microsoft.com/office/drawing/2014/main" id="{00000000-0008-0000-0100-00002B18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6189" name="Rectangle 6188">
              <a:extLst>
                <a:ext uri="{FF2B5EF4-FFF2-40B4-BE49-F238E27FC236}">
                  <a16:creationId xmlns:a16="http://schemas.microsoft.com/office/drawing/2014/main" id="{00000000-0008-0000-0100-00002D18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6190" name="Graphique 1">
              <a:extLst>
                <a:ext uri="{FF2B5EF4-FFF2-40B4-BE49-F238E27FC236}">
                  <a16:creationId xmlns:a16="http://schemas.microsoft.com/office/drawing/2014/main" id="{00000000-0008-0000-0100-00002E18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17">
          <xdr:nvSpPr>
            <xdr:cNvPr id="6191" name="ZoneTexte 6190">
              <a:extLst>
                <a:ext uri="{FF2B5EF4-FFF2-40B4-BE49-F238E27FC236}">
                  <a16:creationId xmlns:a16="http://schemas.microsoft.com/office/drawing/2014/main" id="{00000000-0008-0000-0100-00002F18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1ED3D0DC-D5B1-4216-AA44-64E244E3FC5C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t>Attention, ce produit a une faible qualité nutritionnelle. À consommer occasionellement.</a:t>
              </a:fld>
              <a:endParaRPr lang="en-US" sz="2600">
                <a:latin typeface="Nordique Inline" panose="00000500000000000000" pitchFamily="2" charset="0"/>
              </a:endParaRPr>
            </a:p>
          </xdr:txBody>
        </xdr:sp>
        <xdr:sp macro="" textlink="">
          <xdr:nvSpPr>
            <xdr:cNvPr id="6192" name="Rectangle 6191">
              <a:extLst>
                <a:ext uri="{FF2B5EF4-FFF2-40B4-BE49-F238E27FC236}">
                  <a16:creationId xmlns:a16="http://schemas.microsoft.com/office/drawing/2014/main" id="{00000000-0008-0000-0100-00003018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188" name="ZoneTexte 6187">
            <a:extLst>
              <a:ext uri="{FF2B5EF4-FFF2-40B4-BE49-F238E27FC236}">
                <a16:creationId xmlns:a16="http://schemas.microsoft.com/office/drawing/2014/main" id="{00000000-0008-0000-0100-00002C18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6193" name="Groupe 6192">
          <a:extLst>
            <a:ext uri="{FF2B5EF4-FFF2-40B4-BE49-F238E27FC236}">
              <a16:creationId xmlns:a16="http://schemas.microsoft.com/office/drawing/2014/main" id="{00000000-0008-0000-0100-000031180000}"/>
            </a:ext>
          </a:extLst>
        </xdr:cNvPr>
        <xdr:cNvGrpSpPr/>
      </xdr:nvGrpSpPr>
      <xdr:grpSpPr>
        <a:xfrm>
          <a:off x="5001986" y="5295897"/>
          <a:ext cx="8157028" cy="3579587"/>
          <a:chOff x="4965700" y="4673597"/>
          <a:chExt cx="8242300" cy="3924301"/>
        </a:xfrm>
      </xdr:grpSpPr>
      <xdr:grpSp>
        <xdr:nvGrpSpPr>
          <xdr:cNvPr id="6194" name="Groupe 6193">
            <a:extLst>
              <a:ext uri="{FF2B5EF4-FFF2-40B4-BE49-F238E27FC236}">
                <a16:creationId xmlns:a16="http://schemas.microsoft.com/office/drawing/2014/main" id="{00000000-0008-0000-0100-00003218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6196" name="Groupe 6195">
              <a:extLst>
                <a:ext uri="{FF2B5EF4-FFF2-40B4-BE49-F238E27FC236}">
                  <a16:creationId xmlns:a16="http://schemas.microsoft.com/office/drawing/2014/main" id="{00000000-0008-0000-0100-00003418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6198" name="Groupe 6197">
                <a:extLst>
                  <a:ext uri="{FF2B5EF4-FFF2-40B4-BE49-F238E27FC236}">
                    <a16:creationId xmlns:a16="http://schemas.microsoft.com/office/drawing/2014/main" id="{00000000-0008-0000-0100-00003618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6202" name="Rectangle 6201">
                  <a:extLst>
                    <a:ext uri="{FF2B5EF4-FFF2-40B4-BE49-F238E27FC236}">
                      <a16:creationId xmlns:a16="http://schemas.microsoft.com/office/drawing/2014/main" id="{00000000-0008-0000-0100-00003A18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6203" name="ZoneTexte 6202">
                  <a:extLst>
                    <a:ext uri="{FF2B5EF4-FFF2-40B4-BE49-F238E27FC236}">
                      <a16:creationId xmlns:a16="http://schemas.microsoft.com/office/drawing/2014/main" id="{00000000-0008-0000-0100-00003B180000}"/>
                    </a:ext>
                  </a:extLst>
                </xdr:cNvPr>
                <xdr:cNvSpPr txBox="1"/>
              </xdr:nvSpPr>
              <xdr:spPr>
                <a:xfrm>
                  <a:off x="13792200" y="1397863"/>
                  <a:ext cx="3403600" cy="1551536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6204" name="Rectangle 6203">
                  <a:extLst>
                    <a:ext uri="{FF2B5EF4-FFF2-40B4-BE49-F238E27FC236}">
                      <a16:creationId xmlns:a16="http://schemas.microsoft.com/office/drawing/2014/main" id="{00000000-0008-0000-0100-00003C18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6199" name="ZoneTexte 6198">
                <a:extLst>
                  <a:ext uri="{FF2B5EF4-FFF2-40B4-BE49-F238E27FC236}">
                    <a16:creationId xmlns:a16="http://schemas.microsoft.com/office/drawing/2014/main" id="{00000000-0008-0000-0100-000037180000}"/>
                  </a:ext>
                </a:extLst>
              </xdr:cNvPr>
              <xdr:cNvSpPr txBox="1"/>
            </xdr:nvSpPr>
            <xdr:spPr>
              <a:xfrm>
                <a:off x="16564434" y="6141104"/>
                <a:ext cx="999552" cy="431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6304C90-A849-4A05-9910-6675FCFCC48F}" type="TxLink">
                  <a:rPr lang="en-US" sz="22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36%</a:t>
                </a:fld>
                <a:endParaRPr lang="fr-FR" sz="22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6200" name="Graphique 6199">
                <a:extLst>
                  <a:ext uri="{FF2B5EF4-FFF2-40B4-BE49-F238E27FC236}">
                    <a16:creationId xmlns:a16="http://schemas.microsoft.com/office/drawing/2014/main" id="{00000000-0008-0000-0100-00003818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6201" name="ZoneTexte 6200">
                <a:extLst>
                  <a:ext uri="{FF2B5EF4-FFF2-40B4-BE49-F238E27FC236}">
                    <a16:creationId xmlns:a16="http://schemas.microsoft.com/office/drawing/2014/main" id="{00000000-0008-0000-0100-000039180000}"/>
                  </a:ext>
                </a:extLst>
              </xdr:cNvPr>
              <xdr:cNvSpPr txBox="1"/>
            </xdr:nvSpPr>
            <xdr:spPr>
              <a:xfrm>
                <a:off x="15315969" y="7208338"/>
                <a:ext cx="467917" cy="482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EA3F462-9FAF-4D93-9C2B-671E0C276723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E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6197" name="ZoneTexte 6196">
              <a:extLs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 txBox="1"/>
          </xdr:nvSpPr>
          <xdr:spPr>
            <a:xfrm flipH="1">
              <a:off x="15652955" y="7206728"/>
              <a:ext cx="314080" cy="411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6195" name="ZoneTexte 6194">
            <a:extLst>
              <a:ext uri="{FF2B5EF4-FFF2-40B4-BE49-F238E27FC236}">
                <a16:creationId xmlns:a16="http://schemas.microsoft.com/office/drawing/2014/main" id="{00000000-0008-0000-0100-00003318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6205" name="Groupe 6204">
          <a:extLst>
            <a:ext uri="{FF2B5EF4-FFF2-40B4-BE49-F238E27FC236}">
              <a16:creationId xmlns:a16="http://schemas.microsoft.com/office/drawing/2014/main" id="{00000000-0008-0000-0100-00003D180000}"/>
            </a:ext>
          </a:extLst>
        </xdr:cNvPr>
        <xdr:cNvGrpSpPr/>
      </xdr:nvGrpSpPr>
      <xdr:grpSpPr>
        <a:xfrm>
          <a:off x="25400" y="5257800"/>
          <a:ext cx="4963886" cy="2775857"/>
          <a:chOff x="38100" y="4648200"/>
          <a:chExt cx="4953000" cy="3048000"/>
        </a:xfrm>
      </xdr:grpSpPr>
      <xdr:grpSp>
        <xdr:nvGrpSpPr>
          <xdr:cNvPr id="6206" name="Groupe 6205">
            <a:extLst>
              <a:ext uri="{FF2B5EF4-FFF2-40B4-BE49-F238E27FC236}">
                <a16:creationId xmlns:a16="http://schemas.microsoft.com/office/drawing/2014/main" id="{00000000-0008-0000-0100-00003E18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6208" name="Groupe 6207">
              <a:extLst>
                <a:ext uri="{FF2B5EF4-FFF2-40B4-BE49-F238E27FC236}">
                  <a16:creationId xmlns:a16="http://schemas.microsoft.com/office/drawing/2014/main" id="{00000000-0008-0000-0100-00004018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6214" name="Rectangle 6213">
                <a:extLst>
                  <a:ext uri="{FF2B5EF4-FFF2-40B4-BE49-F238E27FC236}">
                    <a16:creationId xmlns:a16="http://schemas.microsoft.com/office/drawing/2014/main" id="{00000000-0008-0000-0100-00004618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215" name="Rectangle 6214">
                <a:extLst>
                  <a:ext uri="{FF2B5EF4-FFF2-40B4-BE49-F238E27FC236}">
                    <a16:creationId xmlns:a16="http://schemas.microsoft.com/office/drawing/2014/main" id="{00000000-0008-0000-0100-00004718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6209" name="ZoneTexte 6208">
              <a:extLst>
                <a:ext uri="{FF2B5EF4-FFF2-40B4-BE49-F238E27FC236}">
                  <a16:creationId xmlns:a16="http://schemas.microsoft.com/office/drawing/2014/main" id="{00000000-0008-0000-0100-00004118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B5FF3A4C-8D18-B94C-B05D-2AD12C0F882B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6210" name="ZoneTexte 6209">
              <a:extLst>
                <a:ext uri="{FF2B5EF4-FFF2-40B4-BE49-F238E27FC236}">
                  <a16:creationId xmlns:a16="http://schemas.microsoft.com/office/drawing/2014/main" id="{00000000-0008-0000-0100-00004218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6211" name="ZoneTexte 6210">
              <a:extLst>
                <a:ext uri="{FF2B5EF4-FFF2-40B4-BE49-F238E27FC236}">
                  <a16:creationId xmlns:a16="http://schemas.microsoft.com/office/drawing/2014/main" id="{00000000-0008-0000-0100-00004318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6212" name="Image 6211">
              <a:extLst>
                <a:ext uri="{FF2B5EF4-FFF2-40B4-BE49-F238E27FC236}">
                  <a16:creationId xmlns:a16="http://schemas.microsoft.com/office/drawing/2014/main" id="{00000000-0008-0000-0100-0000441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51277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6213" name="ZoneTexte 6212">
              <a:extLst>
                <a:ext uri="{FF2B5EF4-FFF2-40B4-BE49-F238E27FC236}">
                  <a16:creationId xmlns:a16="http://schemas.microsoft.com/office/drawing/2014/main" id="{00000000-0008-0000-0100-00004518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6207" name="ZoneTexte 6206">
            <a:extLst>
              <a:ext uri="{FF2B5EF4-FFF2-40B4-BE49-F238E27FC236}">
                <a16:creationId xmlns:a16="http://schemas.microsoft.com/office/drawing/2014/main" id="{00000000-0008-0000-0100-00003F18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6217" name="Groupe 6216">
          <a:extLst>
            <a:ext uri="{FF2B5EF4-FFF2-40B4-BE49-F238E27FC236}">
              <a16:creationId xmlns:a16="http://schemas.microsoft.com/office/drawing/2014/main" id="{00000000-0008-0000-0100-000049180000}"/>
            </a:ext>
          </a:extLst>
        </xdr:cNvPr>
        <xdr:cNvGrpSpPr/>
      </xdr:nvGrpSpPr>
      <xdr:grpSpPr>
        <a:xfrm>
          <a:off x="165100" y="7739743"/>
          <a:ext cx="4784271" cy="1143000"/>
          <a:chOff x="152400" y="7353300"/>
          <a:chExt cx="4775200" cy="1270000"/>
        </a:xfrm>
      </xdr:grpSpPr>
      <xdr:sp macro="" textlink="">
        <xdr:nvSpPr>
          <xdr:cNvPr id="6218" name="Rectangle 6217">
            <a:extLst>
              <a:ext uri="{FF2B5EF4-FFF2-40B4-BE49-F238E27FC236}">
                <a16:creationId xmlns:a16="http://schemas.microsoft.com/office/drawing/2014/main" id="{00000000-0008-0000-0100-00004A18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219" name="Groupe 6218">
            <a:extLst>
              <a:ext uri="{FF2B5EF4-FFF2-40B4-BE49-F238E27FC236}">
                <a16:creationId xmlns:a16="http://schemas.microsoft.com/office/drawing/2014/main" id="{00000000-0008-0000-0100-00004B18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6220" name="Freeform 29">
              <a:extLst>
                <a:ext uri="{FF2B5EF4-FFF2-40B4-BE49-F238E27FC236}">
                  <a16:creationId xmlns:a16="http://schemas.microsoft.com/office/drawing/2014/main" id="{00000000-0008-0000-0100-00004C18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6221" name="TextBox 44">
              <a:extLst>
                <a:ext uri="{FF2B5EF4-FFF2-40B4-BE49-F238E27FC236}">
                  <a16:creationId xmlns:a16="http://schemas.microsoft.com/office/drawing/2014/main" id="{00000000-0008-0000-0100-00004D18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6222" name="ZoneTexte 6221">
          <a:extLst>
            <a:ext uri="{FF2B5EF4-FFF2-40B4-BE49-F238E27FC236}">
              <a16:creationId xmlns:a16="http://schemas.microsoft.com/office/drawing/2014/main" id="{00000000-0008-0000-0100-00004E18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consommateurs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6223" name="Graphique 6222">
          <a:extLst>
            <a:ext uri="{FF2B5EF4-FFF2-40B4-BE49-F238E27FC236}">
              <a16:creationId xmlns:a16="http://schemas.microsoft.com/office/drawing/2014/main" id="{00000000-0008-0000-0100-00004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6224" name="Graphique 6223">
          <a:extLst>
            <a:ext uri="{FF2B5EF4-FFF2-40B4-BE49-F238E27FC236}">
              <a16:creationId xmlns:a16="http://schemas.microsoft.com/office/drawing/2014/main" id="{00000000-0008-0000-0100-00005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0.39793</cdr:x>
      <cdr:y>0.61272</cdr:y>
    </cdr:from>
    <cdr:to>
      <cdr:x>0.51475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457478" y="2366979"/>
          <a:ext cx="1015012" cy="5953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34D7BA8-1DE2-40AC-881C-ED3AFDB4910D}" type="TxLink">
            <a:rPr lang="en-US" sz="24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Arial" panose="020B0604020202020204" pitchFamily="34" charset="0"/>
            </a:rPr>
            <a:pPr/>
            <a:t>E</a:t>
          </a:fld>
          <a:endParaRPr lang="fr-FR" sz="2400">
            <a:solidFill>
              <a:srgbClr val="002060"/>
            </a:solidFill>
            <a:latin typeface="Nordique Inline" panose="00000500000000000000" pitchFamily="2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9216" name="ZoneTexte 9215">
          <a:extLst>
            <a:ext uri="{FF2B5EF4-FFF2-40B4-BE49-F238E27FC236}">
              <a16:creationId xmlns:a16="http://schemas.microsoft.com/office/drawing/2014/main" id="{00000000-0008-0000-0200-00000024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9218" name="Groupe 9217">
          <a:extLs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GrpSpPr/>
      </xdr:nvGrpSpPr>
      <xdr:grpSpPr>
        <a:xfrm>
          <a:off x="139700" y="1773382"/>
          <a:ext cx="12896273" cy="3782291"/>
          <a:chOff x="139700" y="838200"/>
          <a:chExt cx="13017500" cy="4267200"/>
        </a:xfrm>
      </xdr:grpSpPr>
      <xdr:grpSp>
        <xdr:nvGrpSpPr>
          <xdr:cNvPr id="9219" name="Groupe 9218">
            <a:extLst>
              <a:ext uri="{FF2B5EF4-FFF2-40B4-BE49-F238E27FC236}">
                <a16:creationId xmlns:a16="http://schemas.microsoft.com/office/drawing/2014/main" id="{00000000-0008-0000-0200-00000324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9221" name="Rectangle 9220">
              <a:extLs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9222" name="Graphique 1">
              <a:extLs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20">
          <xdr:nvSpPr>
            <xdr:cNvPr id="9223" name="ZoneTexte 9222">
              <a:extLs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A2D88185-25CA-4F29-9788-1B7F57D810BB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pPr/>
                <a:t>Il est crucial d'envisager des changements pour mieux répondre aux attentes des consommateurs</a:t>
              </a:fld>
              <a:endParaRPr lang="fr-FR" sz="2600">
                <a:latin typeface="Nordique Inline" panose="00000500000000000000" pitchFamily="2" charset="0"/>
                <a:cs typeface="Nordique Inline" panose="020F0502020204030204" pitchFamily="34" charset="0"/>
              </a:endParaRPr>
            </a:p>
          </xdr:txBody>
        </xdr:sp>
        <xdr:sp macro="" textlink="">
          <xdr:nvSpPr>
            <xdr:cNvPr id="9224" name="Rectangle 9223">
              <a:extLs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9220" name="ZoneTexte 9219">
            <a:extLst>
              <a:ext uri="{FF2B5EF4-FFF2-40B4-BE49-F238E27FC236}">
                <a16:creationId xmlns:a16="http://schemas.microsoft.com/office/drawing/2014/main" id="{00000000-0008-0000-0200-00000424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9225" name="Groupe 9224">
          <a:extLst>
            <a:ext uri="{FF2B5EF4-FFF2-40B4-BE49-F238E27FC236}">
              <a16:creationId xmlns:a16="http://schemas.microsoft.com/office/drawing/2014/main" id="{00000000-0008-0000-0200-000009240000}"/>
            </a:ext>
          </a:extLst>
        </xdr:cNvPr>
        <xdr:cNvGrpSpPr/>
      </xdr:nvGrpSpPr>
      <xdr:grpSpPr>
        <a:xfrm>
          <a:off x="4942609" y="5157352"/>
          <a:ext cx="8067964" cy="3485573"/>
          <a:chOff x="4965700" y="4673597"/>
          <a:chExt cx="8242300" cy="3924301"/>
        </a:xfrm>
      </xdr:grpSpPr>
      <xdr:grpSp>
        <xdr:nvGrpSpPr>
          <xdr:cNvPr id="9226" name="Groupe 9225">
            <a:extLst>
              <a:ext uri="{FF2B5EF4-FFF2-40B4-BE49-F238E27FC236}">
                <a16:creationId xmlns:a16="http://schemas.microsoft.com/office/drawing/2014/main" id="{00000000-0008-0000-0200-00000A24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9228" name="Groupe 9227">
              <a:extLs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9230" name="Groupe 9229">
                <a:extLst>
                  <a:ext uri="{FF2B5EF4-FFF2-40B4-BE49-F238E27FC236}">
                    <a16:creationId xmlns:a16="http://schemas.microsoft.com/office/drawing/2014/main" id="{00000000-0008-0000-0200-00000E24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9234" name="Rectangle 9233">
                  <a:extLst>
                    <a:ext uri="{FF2B5EF4-FFF2-40B4-BE49-F238E27FC236}">
                      <a16:creationId xmlns:a16="http://schemas.microsoft.com/office/drawing/2014/main" id="{00000000-0008-0000-0200-00001224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9235" name="ZoneTexte 9234">
                  <a:extLst>
                    <a:ext uri="{FF2B5EF4-FFF2-40B4-BE49-F238E27FC236}">
                      <a16:creationId xmlns:a16="http://schemas.microsoft.com/office/drawing/2014/main" id="{00000000-0008-0000-0200-000013240000}"/>
                    </a:ext>
                  </a:extLst>
                </xdr:cNvPr>
                <xdr:cNvSpPr txBox="1"/>
              </xdr:nvSpPr>
              <xdr:spPr>
                <a:xfrm>
                  <a:off x="13758256" y="1129502"/>
                  <a:ext cx="3570244" cy="1819897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9236" name="Rectangle 9235">
                  <a:extLst>
                    <a:ext uri="{FF2B5EF4-FFF2-40B4-BE49-F238E27FC236}">
                      <a16:creationId xmlns:a16="http://schemas.microsoft.com/office/drawing/2014/main" id="{00000000-0008-0000-0200-00001424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9231" name="ZoneTexte 9230">
                <a:extLst>
                  <a:ext uri="{FF2B5EF4-FFF2-40B4-BE49-F238E27FC236}">
                    <a16:creationId xmlns:a16="http://schemas.microsoft.com/office/drawing/2014/main" id="{00000000-0008-0000-0200-00000F240000}"/>
                  </a:ext>
                </a:extLst>
              </xdr:cNvPr>
              <xdr:cNvSpPr txBox="1"/>
            </xdr:nvSpPr>
            <xdr:spPr>
              <a:xfrm>
                <a:off x="16579513" y="5942354"/>
                <a:ext cx="1156094" cy="6588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9EA1010A-1738-4761-8A9E-CA98B4ED9F0F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36%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9232" name="Graphique 9231">
                <a:extLst>
                  <a:ext uri="{FF2B5EF4-FFF2-40B4-BE49-F238E27FC236}">
                    <a16:creationId xmlns:a16="http://schemas.microsoft.com/office/drawing/2014/main" id="{00000000-0008-0000-0200-00001024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9233" name="ZoneTexte 9232">
                <a:extLst>
                  <a:ext uri="{FF2B5EF4-FFF2-40B4-BE49-F238E27FC236}">
                    <a16:creationId xmlns:a16="http://schemas.microsoft.com/office/drawing/2014/main" id="{00000000-0008-0000-0200-000011240000}"/>
                  </a:ext>
                </a:extLst>
              </xdr:cNvPr>
              <xdr:cNvSpPr txBox="1"/>
            </xdr:nvSpPr>
            <xdr:spPr>
              <a:xfrm>
                <a:off x="15335374" y="7060683"/>
                <a:ext cx="479287" cy="5248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D19712CE-DB31-42A9-A0D1-80770C01C7E6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E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9229" name="ZoneTexte 9228">
              <a:extLs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 txBox="1"/>
          </xdr:nvSpPr>
          <xdr:spPr>
            <a:xfrm flipH="1">
              <a:off x="15709060" y="7148813"/>
              <a:ext cx="462274" cy="522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9227" name="ZoneTexte 9226">
            <a:extLst>
              <a:ext uri="{FF2B5EF4-FFF2-40B4-BE49-F238E27FC236}">
                <a16:creationId xmlns:a16="http://schemas.microsoft.com/office/drawing/2014/main" id="{00000000-0008-0000-0200-00000B24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9237" name="Groupe 9236">
          <a:extLst>
            <a:ext uri="{FF2B5EF4-FFF2-40B4-BE49-F238E27FC236}">
              <a16:creationId xmlns:a16="http://schemas.microsoft.com/office/drawing/2014/main" id="{00000000-0008-0000-0200-000015240000}"/>
            </a:ext>
          </a:extLst>
        </xdr:cNvPr>
        <xdr:cNvGrpSpPr/>
      </xdr:nvGrpSpPr>
      <xdr:grpSpPr>
        <a:xfrm>
          <a:off x="25400" y="5119255"/>
          <a:ext cx="4904509" cy="2701636"/>
          <a:chOff x="38100" y="4648200"/>
          <a:chExt cx="4953000" cy="3048000"/>
        </a:xfrm>
      </xdr:grpSpPr>
      <xdr:grpSp>
        <xdr:nvGrpSpPr>
          <xdr:cNvPr id="9238" name="Groupe 9237">
            <a:extLst>
              <a:ext uri="{FF2B5EF4-FFF2-40B4-BE49-F238E27FC236}">
                <a16:creationId xmlns:a16="http://schemas.microsoft.com/office/drawing/2014/main" id="{00000000-0008-0000-0200-00001624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9240" name="Groupe 9239">
              <a:extLs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9246" name="Rectangle 9245">
                <a:extLst>
                  <a:ext uri="{FF2B5EF4-FFF2-40B4-BE49-F238E27FC236}">
                    <a16:creationId xmlns:a16="http://schemas.microsoft.com/office/drawing/2014/main" id="{00000000-0008-0000-0200-00001E24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247" name="Rectangle 9246">
                <a:extLst>
                  <a:ext uri="{FF2B5EF4-FFF2-40B4-BE49-F238E27FC236}">
                    <a16:creationId xmlns:a16="http://schemas.microsoft.com/office/drawing/2014/main" id="{00000000-0008-0000-0200-00001F24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9241" name="ZoneTexte 9240">
              <a:extLs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78F7F86F-5136-004D-8C40-10C138F17DA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9242" name="ZoneTexte 9241">
              <a:extLs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9243" name="ZoneTexte 9242">
              <a:extLs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9244" name="Image 9243">
              <a:extLs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94661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9245" name="ZoneTexte 9244">
              <a:extLs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9239" name="ZoneTexte 9238">
            <a:extLst>
              <a:ext uri="{FF2B5EF4-FFF2-40B4-BE49-F238E27FC236}">
                <a16:creationId xmlns:a16="http://schemas.microsoft.com/office/drawing/2014/main" id="{00000000-0008-0000-0200-00001724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2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9249" name="Groupe 9248">
          <a:extLst>
            <a:ext uri="{FF2B5EF4-FFF2-40B4-BE49-F238E27FC236}">
              <a16:creationId xmlns:a16="http://schemas.microsoft.com/office/drawing/2014/main" id="{00000000-0008-0000-0200-000021240000}"/>
            </a:ext>
          </a:extLst>
        </xdr:cNvPr>
        <xdr:cNvGrpSpPr/>
      </xdr:nvGrpSpPr>
      <xdr:grpSpPr>
        <a:xfrm>
          <a:off x="165100" y="7536873"/>
          <a:ext cx="4734791" cy="1108363"/>
          <a:chOff x="152400" y="7353300"/>
          <a:chExt cx="4775200" cy="1270000"/>
        </a:xfrm>
      </xdr:grpSpPr>
      <xdr:sp macro="" textlink="">
        <xdr:nvSpPr>
          <xdr:cNvPr id="9250" name="Rectangle 9249">
            <a:extLst>
              <a:ext uri="{FF2B5EF4-FFF2-40B4-BE49-F238E27FC236}">
                <a16:creationId xmlns:a16="http://schemas.microsoft.com/office/drawing/2014/main" id="{00000000-0008-0000-0200-00002224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9251" name="Groupe 9250">
            <a:extLst>
              <a:ext uri="{FF2B5EF4-FFF2-40B4-BE49-F238E27FC236}">
                <a16:creationId xmlns:a16="http://schemas.microsoft.com/office/drawing/2014/main" id="{00000000-0008-0000-0200-00002324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9252" name="Freeform 29">
              <a:extLs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9253" name="TextBox 44">
              <a:extLs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9254" name="ZoneTexte 9253">
          <a:extLst>
            <a:ext uri="{FF2B5EF4-FFF2-40B4-BE49-F238E27FC236}">
              <a16:creationId xmlns:a16="http://schemas.microsoft.com/office/drawing/2014/main" id="{00000000-0008-0000-0200-00002624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producteurs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9255" name="Graphique 9254">
          <a:extLst>
            <a:ext uri="{FF2B5EF4-FFF2-40B4-BE49-F238E27FC236}">
              <a16:creationId xmlns:a16="http://schemas.microsoft.com/office/drawing/2014/main" id="{00000000-0008-0000-0200-000027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9256" name="Graphique 9255">
          <a:extLst>
            <a:ext uri="{FF2B5EF4-FFF2-40B4-BE49-F238E27FC236}">
              <a16:creationId xmlns:a16="http://schemas.microsoft.com/office/drawing/2014/main" id="{00000000-0008-0000-0200-000028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  <xdr:twoCellAnchor editAs="oneCell">
    <xdr:from>
      <xdr:col>0</xdr:col>
      <xdr:colOff>106404</xdr:colOff>
      <xdr:row>35</xdr:row>
      <xdr:rowOff>46442</xdr:rowOff>
    </xdr:from>
    <xdr:to>
      <xdr:col>1</xdr:col>
      <xdr:colOff>431787</xdr:colOff>
      <xdr:row>41</xdr:row>
      <xdr:rowOff>74645</xdr:rowOff>
    </xdr:to>
    <xdr:pic>
      <xdr:nvPicPr>
        <xdr:cNvPr id="9257" name="Graphique 9256">
          <a:extLst>
            <a:ext uri="{FF2B5EF4-FFF2-40B4-BE49-F238E27FC236}">
              <a16:creationId xmlns:a16="http://schemas.microsoft.com/office/drawing/2014/main" id="{00000000-0008-0000-0200-000029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404" y="6980642"/>
          <a:ext cx="1148343" cy="1125483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0.3854</cdr:x>
      <cdr:y>0.61272</cdr:y>
    </cdr:from>
    <cdr:to>
      <cdr:x>0.50222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641525" y="2202180"/>
          <a:ext cx="1103809" cy="553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4DCC7E1-47D2-4F46-BB0B-1EF67D27CF40}" type="TxLink">
            <a:rPr lang="en-US" sz="26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Calibri"/>
            </a:rPr>
            <a:pPr/>
            <a:t>E</a:t>
          </a:fld>
          <a:endParaRPr lang="fr-FR" sz="2600">
            <a:solidFill>
              <a:srgbClr val="002060"/>
            </a:solidFill>
            <a:latin typeface="Nordique Inline" panose="00000500000000000000" pitchFamily="2" charset="0"/>
            <a:cs typeface="Nordique Inline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99060</xdr:rowOff>
        </xdr:from>
        <xdr:to>
          <xdr:col>9</xdr:col>
          <xdr:colOff>480060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472440</xdr:colOff>
          <xdr:row>0</xdr:row>
          <xdr:rowOff>53340</xdr:rowOff>
        </xdr:from>
        <xdr:to>
          <xdr:col>5</xdr:col>
          <xdr:colOff>160020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78B0730-CC07-B1AB-5FE6-530EB9EDB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296092</xdr:colOff>
          <xdr:row>0</xdr:row>
          <xdr:rowOff>139337</xdr:rowOff>
        </xdr:from>
        <xdr:to>
          <xdr:col>8</xdr:col>
          <xdr:colOff>1264920</xdr:colOff>
          <xdr:row>3</xdr:row>
          <xdr:rowOff>89169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0</xdr:row>
          <xdr:rowOff>152400</xdr:rowOff>
        </xdr:from>
        <xdr:to>
          <xdr:col>5</xdr:col>
          <xdr:colOff>175260</xdr:colOff>
          <xdr:row>3</xdr:row>
          <xdr:rowOff>106680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3BBA1E6D-61E1-6BBC-AC6E-FA327A992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Consommateur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%20(1).xlsm" TargetMode="External"/><Relationship Id="rId1" Type="http://schemas.openxmlformats.org/officeDocument/2006/relationships/externalLinkPath" Target="/Users/33662/Downloads/dashboar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 Consommateur"/>
      <sheetName val="Dashboard Producteur"/>
      <sheetName val="Données"/>
    </sheetNames>
    <sheetDataSet>
      <sheetData sheetId="0"/>
      <sheetData sheetId="1"/>
      <sheetData sheetId="2"/>
      <sheetData sheetId="3">
        <row r="1">
          <cell r="B1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10" zoomScale="70" zoomScaleNormal="70" workbookViewId="0">
      <selection activeCell="Q21" sqref="Q21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Drop Down 3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topLeftCell="A7" zoomScale="55" zoomScaleNormal="55" workbookViewId="0">
      <selection activeCell="L51" sqref="L51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Drop Down 2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5"/>
  <sheetViews>
    <sheetView workbookViewId="0">
      <selection activeCell="A14" sqref="A14"/>
    </sheetView>
  </sheetViews>
  <sheetFormatPr baseColWidth="10" defaultRowHeight="14.4" x14ac:dyDescent="0.3"/>
  <cols>
    <col min="1" max="1" width="15.33203125" style="2" customWidth="1"/>
    <col min="2" max="2" width="14.109375" style="2" customWidth="1"/>
    <col min="3" max="4" width="11.5546875" style="2"/>
    <col min="5" max="5" width="21.33203125" style="2" customWidth="1"/>
    <col min="6" max="6" width="18.5546875" style="2" customWidth="1"/>
    <col min="7" max="16384" width="11.5546875" style="2"/>
  </cols>
  <sheetData>
    <row r="1" spans="1:8" x14ac:dyDescent="0.3">
      <c r="A1" s="10" t="s">
        <v>11</v>
      </c>
      <c r="B1" s="10">
        <v>20</v>
      </c>
      <c r="D1" s="5" t="s">
        <v>12</v>
      </c>
    </row>
    <row r="2" spans="1:8" x14ac:dyDescent="0.3">
      <c r="A2" s="10" t="s">
        <v>13</v>
      </c>
      <c r="B2" s="10">
        <v>20</v>
      </c>
      <c r="D2" s="6" t="str">
        <f>INDEX(A13:E14,1,MATCH(MAX(A14:E14),A14:E14,0))</f>
        <v>E</v>
      </c>
    </row>
    <row r="3" spans="1:8" x14ac:dyDescent="0.3">
      <c r="A3" s="10" t="s">
        <v>14</v>
      </c>
      <c r="B3" s="10">
        <v>20</v>
      </c>
      <c r="D3" s="6">
        <f>MAX(A14:E14)</f>
        <v>0.35555555555555501</v>
      </c>
    </row>
    <row r="4" spans="1:8" x14ac:dyDescent="0.3">
      <c r="A4" s="10" t="s">
        <v>15</v>
      </c>
      <c r="B4" s="10">
        <v>20</v>
      </c>
    </row>
    <row r="5" spans="1:8" x14ac:dyDescent="0.3">
      <c r="A5" s="10" t="s">
        <v>16</v>
      </c>
      <c r="B5" s="10">
        <v>20</v>
      </c>
    </row>
    <row r="6" spans="1:8" x14ac:dyDescent="0.3">
      <c r="A6" s="10" t="s">
        <v>17</v>
      </c>
      <c r="B6" s="10">
        <v>100</v>
      </c>
    </row>
    <row r="7" spans="1:8" x14ac:dyDescent="0.3">
      <c r="B7" s="4"/>
    </row>
    <row r="8" spans="1:8" x14ac:dyDescent="0.3">
      <c r="A8" s="26" t="s">
        <v>18</v>
      </c>
      <c r="B8" s="26">
        <f>IF(D2="A",10,IF(D2="B",30,IF(D2="C",50,IF(D2="D",70,IF(D2="E",90)))))</f>
        <v>90</v>
      </c>
    </row>
    <row r="9" spans="1:8" ht="17.399999999999999" x14ac:dyDescent="0.35">
      <c r="A9" s="26" t="s">
        <v>19</v>
      </c>
      <c r="B9" s="26">
        <v>1.5</v>
      </c>
      <c r="F9" s="7"/>
    </row>
    <row r="10" spans="1:8" x14ac:dyDescent="0.3">
      <c r="A10" s="26" t="s">
        <v>20</v>
      </c>
      <c r="B10" s="26">
        <f>200-B8-B9</f>
        <v>108.5</v>
      </c>
    </row>
    <row r="13" spans="1:8" x14ac:dyDescent="0.3">
      <c r="A13" s="8" t="s">
        <v>16</v>
      </c>
      <c r="B13" s="8" t="s">
        <v>15</v>
      </c>
      <c r="C13" s="8" t="s">
        <v>14</v>
      </c>
      <c r="D13" s="8" t="s">
        <v>13</v>
      </c>
      <c r="E13" s="8" t="s">
        <v>11</v>
      </c>
    </row>
    <row r="14" spans="1:8" x14ac:dyDescent="0.3">
      <c r="A14" s="9">
        <v>0.35555555555555501</v>
      </c>
      <c r="B14" s="9">
        <v>0.28888888888888797</v>
      </c>
      <c r="C14" s="9">
        <v>0.34074074074074001</v>
      </c>
      <c r="D14" s="9">
        <v>7.4074074074073999E-3</v>
      </c>
      <c r="E14" s="9">
        <v>7.4074074074073999E-3</v>
      </c>
    </row>
    <row r="15" spans="1:8" ht="15" thickBot="1" x14ac:dyDescent="0.35"/>
    <row r="16" spans="1:8" x14ac:dyDescent="0.3">
      <c r="A16" s="11" t="s">
        <v>28</v>
      </c>
      <c r="B16" s="12"/>
      <c r="C16" s="12"/>
      <c r="D16" s="12"/>
      <c r="E16" s="12"/>
      <c r="F16" s="12"/>
      <c r="G16" s="12"/>
      <c r="H16" s="13"/>
    </row>
    <row r="17" spans="1:8" ht="15" thickBot="1" x14ac:dyDescent="0.35">
      <c r="A17" s="14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>Attention, ce produit a une faible qualité nutritionnelle. À consommer occasionellement.</v>
      </c>
      <c r="B17" s="15"/>
      <c r="C17" s="15"/>
      <c r="D17" s="15"/>
      <c r="E17" s="15"/>
      <c r="F17" s="15"/>
      <c r="G17" s="15"/>
      <c r="H17" s="16"/>
    </row>
    <row r="18" spans="1:8" ht="15" thickBot="1" x14ac:dyDescent="0.35"/>
    <row r="19" spans="1:8" x14ac:dyDescent="0.3">
      <c r="A19" s="17" t="s">
        <v>29</v>
      </c>
      <c r="B19" s="18"/>
      <c r="C19" s="18"/>
      <c r="D19" s="18"/>
      <c r="E19" s="18"/>
      <c r="F19" s="18"/>
      <c r="G19" s="18"/>
      <c r="H19" s="19"/>
    </row>
    <row r="20" spans="1:8" ht="15" thickBot="1" x14ac:dyDescent="0.35">
      <c r="A20" s="14" t="str">
        <f>IF(D2="A","Avec votre produit noté A, vous répondez aux attentes croissantes des consommateurs pour des aliments sains et équilibrés.",IF(D2="B"," Votre produit offre une bonne qualité nutritionnelle. Cela plaira à vos clients.",IF(D2="C","Votre produit montre des aspects positifs tout en laissant place à des améliorations.",IF(D2="D"," Votre produit présente des aspects à repenser pour améliorer sa qualité nutritionnelle.",IF(D2="E","Il est crucial d'envisager des changements pour mieux répondre aux attentes des consommateurs")))))</f>
        <v>Il est crucial d'envisager des changements pour mieux répondre aux attentes des consommateurs</v>
      </c>
      <c r="B20" s="15"/>
      <c r="C20" s="15"/>
      <c r="D20" s="15"/>
      <c r="E20" s="15"/>
      <c r="F20" s="15"/>
      <c r="G20" s="15"/>
      <c r="H20" s="16"/>
    </row>
    <row r="21" spans="1:8" ht="15" thickBot="1" x14ac:dyDescent="0.35"/>
    <row r="22" spans="1:8" x14ac:dyDescent="0.3">
      <c r="E22" s="20" t="s">
        <v>30</v>
      </c>
      <c r="F22" s="21" t="s">
        <v>31</v>
      </c>
    </row>
    <row r="23" spans="1:8" x14ac:dyDescent="0.3">
      <c r="E23" s="22" t="s">
        <v>1</v>
      </c>
      <c r="F23" s="23" t="s">
        <v>32</v>
      </c>
    </row>
    <row r="24" spans="1:8" x14ac:dyDescent="0.3">
      <c r="E24" s="22" t="s">
        <v>2</v>
      </c>
      <c r="F24" s="23"/>
    </row>
    <row r="25" spans="1:8" ht="15" thickBot="1" x14ac:dyDescent="0.35">
      <c r="E25" s="24" t="s">
        <v>4</v>
      </c>
      <c r="F25" s="25"/>
    </row>
  </sheetData>
  <mergeCells count="4">
    <mergeCell ref="A16:H16"/>
    <mergeCell ref="A17:H17"/>
    <mergeCell ref="A19:H19"/>
    <mergeCell ref="A20:H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T8"/>
  <sheetViews>
    <sheetView workbookViewId="0">
      <selection activeCell="C9" sqref="C9"/>
    </sheetView>
  </sheetViews>
  <sheetFormatPr baseColWidth="10" defaultColWidth="11.5546875" defaultRowHeight="14.4" x14ac:dyDescent="0.3"/>
  <cols>
    <col min="1" max="1" width="15" style="2" bestFit="1" customWidth="1"/>
    <col min="2" max="2" width="8" style="30" bestFit="1" customWidth="1"/>
    <col min="3" max="3" width="15.77734375" style="30" bestFit="1" customWidth="1"/>
    <col min="4" max="4" width="21.77734375" style="30" bestFit="1" customWidth="1"/>
    <col min="5" max="5" width="26.6640625" style="30" bestFit="1" customWidth="1"/>
    <col min="6" max="6" width="11" style="30" bestFit="1" customWidth="1"/>
    <col min="7" max="7" width="6.109375" style="30" bestFit="1" customWidth="1"/>
    <col min="8" max="8" width="8.5546875" style="30" bestFit="1" customWidth="1"/>
    <col min="9" max="9" width="6.5546875" style="30" bestFit="1" customWidth="1"/>
    <col min="10" max="10" width="10.77734375" style="30" bestFit="1" customWidth="1"/>
    <col min="11" max="11" width="10.44140625" style="30" bestFit="1" customWidth="1"/>
    <col min="12" max="12" width="8.109375" style="30" bestFit="1" customWidth="1"/>
    <col min="13" max="13" width="7.88671875" style="30" bestFit="1" customWidth="1"/>
    <col min="14" max="14" width="4.21875" style="30" bestFit="1" customWidth="1"/>
    <col min="15" max="15" width="18.33203125" style="2" customWidth="1"/>
    <col min="16" max="16" width="5.5546875" style="27" customWidth="1"/>
    <col min="17" max="19" width="5.109375" style="27" customWidth="1"/>
    <col min="20" max="20" width="6.109375" style="27" customWidth="1"/>
    <col min="21" max="16384" width="11.5546875" style="2"/>
  </cols>
  <sheetData>
    <row r="2" spans="1:20" ht="15" thickBot="1" x14ac:dyDescent="0.35"/>
    <row r="3" spans="1:20" ht="15.6" thickTop="1" thickBot="1" x14ac:dyDescent="0.35">
      <c r="P3" s="28" t="s">
        <v>34</v>
      </c>
      <c r="Q3" s="28"/>
      <c r="R3" s="28"/>
      <c r="S3" s="28"/>
      <c r="T3" s="28"/>
    </row>
    <row r="4" spans="1:20" ht="15.6" thickTop="1" thickBot="1" x14ac:dyDescent="0.35">
      <c r="A4" s="33" t="s">
        <v>0</v>
      </c>
      <c r="B4" s="34" t="s">
        <v>3</v>
      </c>
      <c r="C4" s="34" t="s">
        <v>4</v>
      </c>
      <c r="D4" s="34" t="s">
        <v>5</v>
      </c>
      <c r="E4" s="34" t="s">
        <v>21</v>
      </c>
      <c r="F4" s="31" t="s">
        <v>6</v>
      </c>
      <c r="G4" s="31" t="s">
        <v>1</v>
      </c>
      <c r="H4" s="31" t="s">
        <v>25</v>
      </c>
      <c r="I4" s="31" t="s">
        <v>7</v>
      </c>
      <c r="J4" s="31" t="s">
        <v>24</v>
      </c>
      <c r="K4" s="31" t="s">
        <v>8</v>
      </c>
      <c r="L4" s="31" t="s">
        <v>23</v>
      </c>
      <c r="M4" s="31" t="s">
        <v>22</v>
      </c>
      <c r="N4" s="31" t="s">
        <v>9</v>
      </c>
      <c r="O4" s="1" t="s">
        <v>10</v>
      </c>
      <c r="P4" s="29" t="s">
        <v>11</v>
      </c>
      <c r="Q4" s="29" t="s">
        <v>13</v>
      </c>
      <c r="R4" s="29" t="s">
        <v>14</v>
      </c>
      <c r="S4" s="29" t="s">
        <v>15</v>
      </c>
      <c r="T4" s="29" t="s">
        <v>16</v>
      </c>
    </row>
    <row r="5" spans="1:20" ht="15" thickTop="1" x14ac:dyDescent="0.3">
      <c r="A5" s="2" t="s">
        <v>35</v>
      </c>
      <c r="B5" s="30">
        <v>1.5</v>
      </c>
      <c r="C5" s="30">
        <v>3</v>
      </c>
      <c r="D5" s="30">
        <v>5</v>
      </c>
      <c r="E5" s="30">
        <v>6</v>
      </c>
      <c r="F5" s="30">
        <v>5</v>
      </c>
      <c r="G5" s="30">
        <v>1</v>
      </c>
      <c r="H5" s="30">
        <v>56</v>
      </c>
      <c r="I5" s="30">
        <v>5</v>
      </c>
      <c r="J5" s="30">
        <v>42</v>
      </c>
      <c r="K5" s="30">
        <v>5</v>
      </c>
      <c r="L5" s="30">
        <v>2</v>
      </c>
      <c r="M5" s="30">
        <v>2</v>
      </c>
      <c r="N5" s="30">
        <v>6</v>
      </c>
      <c r="O5" s="32" t="s">
        <v>14</v>
      </c>
      <c r="P5" s="27">
        <v>1.48148148148148E-2</v>
      </c>
      <c r="Q5" s="27">
        <v>1.48148148148148E-2</v>
      </c>
      <c r="R5" s="27">
        <v>0.49626724763979602</v>
      </c>
      <c r="S5" s="27">
        <v>0.30373275236020297</v>
      </c>
      <c r="T5" s="27">
        <v>0.17037037037037001</v>
      </c>
    </row>
    <row r="6" spans="1:20" x14ac:dyDescent="0.3">
      <c r="A6" s="2" t="s">
        <v>36</v>
      </c>
      <c r="B6" s="30">
        <v>1.5</v>
      </c>
      <c r="C6" s="30">
        <v>3</v>
      </c>
      <c r="D6" s="30">
        <v>5</v>
      </c>
      <c r="E6" s="30">
        <v>6.44</v>
      </c>
      <c r="F6" s="30">
        <v>5.0439999999999996</v>
      </c>
      <c r="G6" s="30">
        <v>1</v>
      </c>
      <c r="H6" s="30">
        <v>56</v>
      </c>
      <c r="I6" s="30">
        <v>5.0549999999999997</v>
      </c>
      <c r="J6" s="30">
        <v>42</v>
      </c>
      <c r="K6" s="30">
        <v>4</v>
      </c>
      <c r="L6" s="30">
        <v>210</v>
      </c>
      <c r="M6" s="30">
        <v>2</v>
      </c>
      <c r="N6" s="30">
        <v>6</v>
      </c>
      <c r="O6" s="32" t="s">
        <v>14</v>
      </c>
      <c r="P6" s="27">
        <v>1.48148148148148E-2</v>
      </c>
      <c r="Q6" s="27">
        <v>1.48148148148148E-2</v>
      </c>
      <c r="R6" s="27">
        <v>0.49626724763979602</v>
      </c>
      <c r="S6" s="27">
        <v>0.30373275236020297</v>
      </c>
      <c r="T6" s="27">
        <v>0.17037037037037001</v>
      </c>
    </row>
    <row r="7" spans="1:20" x14ac:dyDescent="0.3">
      <c r="A7" s="2" t="s">
        <v>35</v>
      </c>
      <c r="B7" s="30">
        <v>1.5</v>
      </c>
      <c r="C7" s="30">
        <v>3</v>
      </c>
      <c r="D7" s="30">
        <v>5</v>
      </c>
      <c r="E7" s="30">
        <v>6</v>
      </c>
      <c r="F7" s="30">
        <v>5</v>
      </c>
      <c r="G7" s="30">
        <v>1</v>
      </c>
      <c r="H7" s="30">
        <v>56</v>
      </c>
      <c r="I7" s="30">
        <v>5</v>
      </c>
      <c r="J7" s="30">
        <v>42</v>
      </c>
      <c r="K7" s="30">
        <v>5</v>
      </c>
      <c r="L7" s="30">
        <v>2</v>
      </c>
      <c r="M7" s="30">
        <v>2</v>
      </c>
      <c r="N7" s="30">
        <v>6.5</v>
      </c>
      <c r="O7" s="32" t="s">
        <v>14</v>
      </c>
      <c r="P7" s="27">
        <v>1.48148148148148E-2</v>
      </c>
      <c r="Q7" s="27">
        <v>1.48148148148148E-2</v>
      </c>
      <c r="R7" s="27">
        <v>0.49626724763979602</v>
      </c>
      <c r="S7" s="27">
        <v>0.30373275236020297</v>
      </c>
      <c r="T7" s="27">
        <v>0.17037037037037001</v>
      </c>
    </row>
    <row r="8" spans="1:20" x14ac:dyDescent="0.3">
      <c r="A8" s="2" t="s">
        <v>38</v>
      </c>
      <c r="B8" s="30">
        <v>1.5</v>
      </c>
      <c r="C8" s="30">
        <v>53</v>
      </c>
      <c r="D8" s="30">
        <v>5</v>
      </c>
      <c r="E8" s="30">
        <v>6</v>
      </c>
      <c r="F8" s="30">
        <v>5</v>
      </c>
      <c r="G8" s="30">
        <v>1</v>
      </c>
      <c r="H8" s="30">
        <v>56</v>
      </c>
      <c r="I8" s="30">
        <v>5</v>
      </c>
      <c r="J8" s="30">
        <v>42</v>
      </c>
      <c r="K8" s="30">
        <v>5</v>
      </c>
      <c r="L8" s="30">
        <v>2</v>
      </c>
      <c r="M8" s="30">
        <v>2</v>
      </c>
      <c r="N8" s="30">
        <v>6</v>
      </c>
      <c r="O8" s="32" t="s">
        <v>16</v>
      </c>
      <c r="P8" s="27">
        <v>7.4074074074073999E-3</v>
      </c>
      <c r="Q8" s="27">
        <v>7.4074074074073999E-3</v>
      </c>
      <c r="R8" s="27">
        <v>0.34074074074074001</v>
      </c>
      <c r="S8" s="27">
        <v>0.28888888888888797</v>
      </c>
      <c r="T8" s="27">
        <v>0.35555555555555501</v>
      </c>
    </row>
  </sheetData>
  <mergeCells count="1">
    <mergeCell ref="P3:T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6</xdr:col>
                    <xdr:colOff>152400</xdr:colOff>
                    <xdr:row>0</xdr:row>
                    <xdr:rowOff>99060</xdr:rowOff>
                  </from>
                  <to>
                    <xdr:col>9</xdr:col>
                    <xdr:colOff>480060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tour">
                <anchor moveWithCells="1">
                  <from>
                    <xdr:col>2</xdr:col>
                    <xdr:colOff>472440</xdr:colOff>
                    <xdr:row>0</xdr:row>
                    <xdr:rowOff>53340</xdr:rowOff>
                  </from>
                  <to>
                    <xdr:col>5</xdr:col>
                    <xdr:colOff>160020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3:N9"/>
  <sheetViews>
    <sheetView zoomScaleNormal="100" workbookViewId="0">
      <selection activeCell="N9" sqref="N9"/>
    </sheetView>
  </sheetViews>
  <sheetFormatPr baseColWidth="10" defaultColWidth="11.5546875" defaultRowHeight="14.4" x14ac:dyDescent="0.3"/>
  <cols>
    <col min="1" max="1" width="15.109375" style="2" customWidth="1"/>
    <col min="2" max="2" width="11.5546875" style="30"/>
    <col min="3" max="3" width="19.33203125" style="30" customWidth="1"/>
    <col min="4" max="4" width="25" style="30" customWidth="1"/>
    <col min="5" max="8" width="11.5546875" style="30"/>
    <col min="9" max="9" width="19.33203125" style="2" customWidth="1"/>
    <col min="10" max="10" width="8.33203125" style="27" customWidth="1"/>
    <col min="11" max="11" width="7.77734375" style="27" customWidth="1"/>
    <col min="12" max="12" width="8.5546875" style="27" customWidth="1"/>
    <col min="13" max="14" width="8" style="27" customWidth="1"/>
    <col min="15" max="16384" width="11.5546875" style="2"/>
  </cols>
  <sheetData>
    <row r="3" spans="1:14" ht="15" thickBot="1" x14ac:dyDescent="0.35"/>
    <row r="4" spans="1:14" ht="15.6" thickTop="1" thickBot="1" x14ac:dyDescent="0.35">
      <c r="J4" s="28" t="s">
        <v>34</v>
      </c>
      <c r="K4" s="28"/>
      <c r="L4" s="28"/>
      <c r="M4" s="28"/>
      <c r="N4" s="28"/>
    </row>
    <row r="5" spans="1:14" ht="15.6" thickTop="1" thickBot="1" x14ac:dyDescent="0.35">
      <c r="A5" s="33" t="s">
        <v>0</v>
      </c>
      <c r="B5" s="34" t="s">
        <v>3</v>
      </c>
      <c r="C5" s="34" t="s">
        <v>4</v>
      </c>
      <c r="D5" s="34" t="s">
        <v>5</v>
      </c>
      <c r="E5" s="34" t="s">
        <v>1</v>
      </c>
      <c r="F5" s="34" t="s">
        <v>25</v>
      </c>
      <c r="G5" s="31" t="s">
        <v>2</v>
      </c>
      <c r="H5" s="31" t="s">
        <v>26</v>
      </c>
      <c r="I5" s="1" t="s">
        <v>10</v>
      </c>
      <c r="J5" s="29" t="s">
        <v>11</v>
      </c>
      <c r="K5" s="29" t="s">
        <v>13</v>
      </c>
      <c r="L5" s="29" t="s">
        <v>14</v>
      </c>
      <c r="M5" s="29" t="s">
        <v>15</v>
      </c>
      <c r="N5" s="29" t="s">
        <v>16</v>
      </c>
    </row>
    <row r="6" spans="1:14" ht="15" thickTop="1" x14ac:dyDescent="0.3">
      <c r="A6" s="2" t="s">
        <v>27</v>
      </c>
      <c r="B6" s="30">
        <v>270</v>
      </c>
      <c r="C6" s="30">
        <v>2.6</v>
      </c>
      <c r="D6" s="30">
        <v>0.8</v>
      </c>
      <c r="E6" s="30">
        <v>0.7</v>
      </c>
      <c r="F6" s="30">
        <v>49</v>
      </c>
      <c r="G6" s="30">
        <v>0.1</v>
      </c>
      <c r="H6" s="30">
        <v>11</v>
      </c>
      <c r="I6" s="32" t="s">
        <v>11</v>
      </c>
      <c r="J6" s="27">
        <v>0.69060794027060801</v>
      </c>
      <c r="K6" s="27">
        <v>0.276058726396058</v>
      </c>
      <c r="L6" s="27">
        <v>1.6666666666666601E-2</v>
      </c>
      <c r="M6" s="27">
        <v>0</v>
      </c>
      <c r="N6" s="27">
        <v>1.6666666666666601E-2</v>
      </c>
    </row>
    <row r="7" spans="1:14" x14ac:dyDescent="0.3">
      <c r="A7" s="2" t="s">
        <v>27</v>
      </c>
      <c r="B7" s="30">
        <v>270</v>
      </c>
      <c r="C7" s="30">
        <v>2.6</v>
      </c>
      <c r="D7" s="30">
        <v>0.8</v>
      </c>
      <c r="E7" s="30">
        <v>0.7</v>
      </c>
      <c r="F7" s="30">
        <v>49</v>
      </c>
      <c r="G7" s="30">
        <v>0.1</v>
      </c>
      <c r="H7" s="30">
        <v>11</v>
      </c>
      <c r="I7" s="32" t="s">
        <v>11</v>
      </c>
      <c r="J7" s="27">
        <v>0.69060794027060801</v>
      </c>
      <c r="K7" s="27">
        <v>0.276058726396058</v>
      </c>
      <c r="L7" s="27">
        <v>1.6666666666666601E-2</v>
      </c>
      <c r="M7" s="27">
        <v>0</v>
      </c>
      <c r="N7" s="27">
        <v>1.6666666666666601E-2</v>
      </c>
    </row>
    <row r="8" spans="1:14" x14ac:dyDescent="0.3">
      <c r="A8" s="2" t="s">
        <v>37</v>
      </c>
      <c r="B8" s="30">
        <v>1.5</v>
      </c>
      <c r="C8" s="30">
        <v>2</v>
      </c>
      <c r="D8" s="30">
        <v>3</v>
      </c>
      <c r="E8" s="30">
        <v>5</v>
      </c>
      <c r="F8" s="30">
        <v>4</v>
      </c>
      <c r="G8" s="30">
        <v>9</v>
      </c>
      <c r="H8" s="30">
        <v>8</v>
      </c>
      <c r="I8" s="32" t="s">
        <v>15</v>
      </c>
      <c r="J8" s="27">
        <v>0.1</v>
      </c>
      <c r="K8" s="27">
        <v>0.2</v>
      </c>
      <c r="L8" s="27">
        <v>0.32500000000000001</v>
      </c>
      <c r="M8" s="27">
        <v>0.375</v>
      </c>
      <c r="N8" s="27">
        <v>0</v>
      </c>
    </row>
    <row r="9" spans="1:14" x14ac:dyDescent="0.3">
      <c r="A9" s="2" t="s">
        <v>33</v>
      </c>
      <c r="B9" s="30">
        <v>1.5</v>
      </c>
      <c r="C9" s="30">
        <v>6</v>
      </c>
      <c r="D9" s="30">
        <v>65</v>
      </c>
      <c r="E9" s="30">
        <v>2</v>
      </c>
      <c r="F9" s="30">
        <v>5</v>
      </c>
      <c r="G9" s="30">
        <v>4</v>
      </c>
      <c r="H9" s="30">
        <v>9</v>
      </c>
      <c r="I9" s="32" t="s">
        <v>15</v>
      </c>
      <c r="J9" s="27">
        <v>2.5000000000000001E-2</v>
      </c>
      <c r="K9" s="27">
        <v>0.116666666666666</v>
      </c>
      <c r="L9" s="27">
        <v>0.241666666666666</v>
      </c>
      <c r="M9" s="27">
        <v>0.45</v>
      </c>
      <c r="N9" s="27">
        <v>0.16666666666666599</v>
      </c>
    </row>
  </sheetData>
  <mergeCells count="1">
    <mergeCell ref="J4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5</xdr:col>
                    <xdr:colOff>297180</xdr:colOff>
                    <xdr:row>0</xdr:row>
                    <xdr:rowOff>137160</xdr:rowOff>
                  </from>
                  <to>
                    <xdr:col>8</xdr:col>
                    <xdr:colOff>1264920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tour">
                <anchor moveWithCells="1">
                  <from>
                    <xdr:col>1</xdr:col>
                    <xdr:colOff>708660</xdr:colOff>
                    <xdr:row>0</xdr:row>
                    <xdr:rowOff>152400</xdr:rowOff>
                  </from>
                  <to>
                    <xdr:col>5</xdr:col>
                    <xdr:colOff>175260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dashboard_consommateur</vt:lpstr>
      <vt:lpstr>dashboard_producteur</vt:lpstr>
      <vt:lpstr>Traitement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2023-11-22T10:58:43Z</dcterms:modified>
</cp:coreProperties>
</file>