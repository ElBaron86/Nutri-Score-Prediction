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60E1402F-0870-4190-B958-BFD4355A1C76}" xr6:coauthVersionLast="47" xr6:coauthVersionMax="47" xr10:uidLastSave="{00000000-0000-0000-0000-000000000000}"/>
  <bookViews>
    <workbookView xWindow="-108" yWindow="-108" windowWidth="23256" windowHeight="12456" tabRatio="776" xr2:uid="{00000000-000D-0000-FFFF-FFFF00000000}"/>
  </bookViews>
  <sheets>
    <sheet name="Accueil" sheetId="2" r:id="rId1"/>
    <sheet name="dashboard_consommateur" sheetId="6" state="hidden" r:id="rId2"/>
    <sheet name="dashboard_producteur" sheetId="8" state="hidden" r:id="rId3"/>
    <sheet name="Traitement" sheetId="7" state="hidden" r:id="rId4"/>
    <sheet name="Historique_producteur" sheetId="1" state="hidden" r:id="rId5"/>
    <sheet name="Historique_consommateur" sheetId="5" state="hidden" r:id="rId6"/>
  </sheets>
  <functionGroups builtInGroupCount="19"/>
  <externalReferences>
    <externalReference r:id="rId7"/>
    <externalReference r:id="rId8"/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7" l="1"/>
  <c r="D2" i="7"/>
  <c r="A20" i="7" l="1"/>
  <c r="B8" i="7"/>
  <c r="B10" i="7" s="1"/>
  <c r="A17" i="7"/>
</calcChain>
</file>

<file path=xl/sharedStrings.xml><?xml version="1.0" encoding="utf-8"?>
<sst xmlns="http://schemas.openxmlformats.org/spreadsheetml/2006/main" count="97" uniqueCount="46">
  <si>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</si>
  <si>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</si>
  <si>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</si>
  <si>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</si>
  <si>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</si>
  <si>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</si>
  <si>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</si>
  <si>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</si>
  <si>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</si>
  <si>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</si>
  <si>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</si>
  <si>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</si>
  <si>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</si>
  <si>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</si>
  <si>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</si>
  <si>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</si>
  <si>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</si>
  <si>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</si>
  <si>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</si>
  <si>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</si>
  <si>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</si>
  <si>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</si>
  <si>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</si>
  <si>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</si>
  <si>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</si>
  <si>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</si>
  <si>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 xml:space="preserve">Protéines </t>
  </si>
  <si>
    <t>pate truffe</t>
  </si>
  <si>
    <t>Commentaire selon le résultat : (consommateur)</t>
  </si>
  <si>
    <t>Commentaire selon le résultat : (producteur)</t>
  </si>
  <si>
    <t>Top 3 (consommateur)</t>
  </si>
  <si>
    <t>Top 3 (producteur)</t>
  </si>
  <si>
    <t>Acide gras trans</t>
  </si>
  <si>
    <t>test V4</t>
  </si>
  <si>
    <t>Probabilité associé au résultat</t>
  </si>
  <si>
    <t>produit-1</t>
  </si>
  <si>
    <t>produit-2</t>
  </si>
  <si>
    <t xml:space="preserve">test conso </t>
  </si>
  <si>
    <t>produit-3</t>
  </si>
  <si>
    <t xml:space="preserve">gruyère </t>
  </si>
  <si>
    <t>petit prince</t>
  </si>
  <si>
    <t>random test</t>
  </si>
  <si>
    <t>gateau</t>
  </si>
  <si>
    <t>gateau1</t>
  </si>
  <si>
    <t>testV</t>
  </si>
  <si>
    <t>testprod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</si>
</sst>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  <font>
      <sz val="11"/>
      <color theme="1"/>
      <name val="Calibri"/>
      <family val="2"/>
      <scheme val="minor"/>
    </font>
    <font>
      <sz val="13"/>
      <color rgb="FF4F595F"/>
      <name val="Courier New"/>
      <family val="1"/>
    </font>
    <font>
      <sz val="11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0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800080"/>
        <bgColor indexed="64"/>
      </patternFill>
    </fill>
  </fills>
  <borders count="18">
    <border>
      <left/>
      <right/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2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2" xfId="0" applyBorder="1" applyAlignment="1">
      <alignment horizontal="center"/>
    </xf>
    <xf numFmtId="0" fontId="0" fillId="3" borderId="3" xfId="0" applyFill="1" applyBorder="1" applyAlignment="1">
      <alignment horizontal="center"/>
    </xf>
    <xf numFmtId="9" fontId="0" fillId="3" borderId="3" xfId="0" applyNumberForma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4" borderId="3" xfId="0" applyFill="1" applyBorder="1" applyAlignment="1">
      <alignment horizontal="center"/>
    </xf>
    <xf numFmtId="9" fontId="0" fillId="0" borderId="3" xfId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8" borderId="3" xfId="0" applyFill="1" applyBorder="1" applyAlignment="1">
      <alignment horizontal="center"/>
    </xf>
    <xf numFmtId="9" fontId="0" fillId="0" borderId="0" xfId="1" applyFont="1" applyAlignment="1">
      <alignment horizontal="center"/>
    </xf>
    <xf numFmtId="9" fontId="2" fillId="0" borderId="16" xfId="1" applyFont="1" applyBorder="1" applyAlignment="1">
      <alignment horizontal="center"/>
    </xf>
    <xf numFmtId="0" fontId="7" fillId="9" borderId="0" xfId="0" applyFont="1" applyFill="1" applyAlignment="1">
      <alignment horizontal="center"/>
    </xf>
    <xf numFmtId="0" fontId="2" fillId="0" borderId="17" xfId="0" applyFont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9" fontId="2" fillId="0" borderId="17" xfId="1" applyFont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7574212341695"/>
          <c:y val="7.0671378091872794E-2"/>
          <c:w val="0.3534946610675071"/>
          <c:h val="0.92932862190812726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25-4503-A11B-16230470B607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25-4503-A11B-16230470B607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25-4503-A11B-16230470B607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25-4503-A11B-16230470B607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25-4503-A11B-16230470B607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25-4503-A11B-16230470B607}"/>
              </c:ext>
            </c:extLst>
          </c:dPt>
          <c:val>
            <c:numRef>
              <c:f>Traitement!$B$1:$B$6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25-4503-A11B-16230470B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25-4503-A11B-16230470B60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A25-4503-A11B-16230470B60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25-4503-A11B-16230470B607}"/>
              </c:ext>
            </c:extLst>
          </c:dPt>
          <c:val>
            <c:numRef>
              <c:f>Traitement!$B$8:$B$10</c:f>
              <c:numCache>
                <c:formatCode>General</c:formatCode>
                <c:ptCount val="3"/>
                <c:pt idx="0">
                  <c:v>50</c:v>
                </c:pt>
                <c:pt idx="1">
                  <c:v>1.5</c:v>
                </c:pt>
                <c:pt idx="2">
                  <c:v>148.5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25-4503-A11B-16230470B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10-41BD-8CEA-97B8C6C92A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10-41BD-8CEA-97B8C6C92A7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210-41BD-8CEA-97B8C6C92A7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10-41BD-8CEA-97B8C6C92A79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210-41BD-8CEA-97B8C6C92A79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10-41BD-8CEA-97B8C6C92A79}"/>
                </c:ext>
              </c:extLst>
            </c:dLbl>
            <c:dLbl>
              <c:idx val="4"/>
              <c:layout>
                <c:manualLayout>
                  <c:x val="5.3022364962234392E-2"/>
                  <c:y val="2.5056867447054463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210-41BD-8CEA-97B8C6C92A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Nordique Inline" panose="020F0502020204030204" pitchFamily="34" charset="0"/>
                    <a:ea typeface="+mn-ea"/>
                    <a:cs typeface="Nordique Inline" panose="020F0502020204030204" pitchFamily="34" charset="0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25400" cap="flat" cmpd="sng" algn="ctr">
                  <a:solidFill>
                    <a:schemeClr val="tx1"/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Traitement!$A$14:$E$14</c:f>
              <c:numCache>
                <c:formatCode>0%</c:formatCode>
                <c:ptCount val="5"/>
                <c:pt idx="0">
                  <c:v>0.18148148148148099</c:v>
                </c:pt>
                <c:pt idx="1">
                  <c:v>0.29262164124909201</c:v>
                </c:pt>
                <c:pt idx="2">
                  <c:v>0.49626724763979602</c:v>
                </c:pt>
                <c:pt idx="3">
                  <c:v>1.48148148148148E-2</c:v>
                </c:pt>
                <c:pt idx="4">
                  <c:v>1.48148148148148E-2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10-41BD-8CEA-97B8C6C9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7574212341695"/>
          <c:y val="7.0671378091872794E-2"/>
          <c:w val="0.3534946610675071"/>
          <c:h val="0.92932862190812726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AE5-4D41-91F7-DA25C9BE7DE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AE5-4D41-91F7-DA25C9BE7DE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AE5-4D41-91F7-DA25C9BE7DE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AE5-4D41-91F7-DA25C9BE7DE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AE5-4D41-91F7-DA25C9BE7DE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AE5-4D41-91F7-DA25C9BE7DE9}"/>
              </c:ext>
            </c:extLst>
          </c:dPt>
          <c:val>
            <c:numRef>
              <c:f>Traitement!$B$1:$B$6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E5-4D41-91F7-DA25C9BE7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AE5-4D41-91F7-DA25C9BE7DE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AE5-4D41-91F7-DA25C9BE7DE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AE5-4D41-91F7-DA25C9BE7DE9}"/>
              </c:ext>
            </c:extLst>
          </c:dPt>
          <c:val>
            <c:numRef>
              <c:f>Traitement!$B$8:$B$10</c:f>
              <c:numCache>
                <c:formatCode>General</c:formatCode>
                <c:ptCount val="3"/>
                <c:pt idx="0">
                  <c:v>50</c:v>
                </c:pt>
                <c:pt idx="1">
                  <c:v>1.5</c:v>
                </c:pt>
                <c:pt idx="2">
                  <c:v>148.5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AE5-4D41-91F7-DA25C9BE7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24-43B7-AFC9-83FE13A384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24-43B7-AFC9-83FE13A384C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24-43B7-AFC9-83FE13A384CA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24-43B7-AFC9-83FE13A384C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C24-43B7-AFC9-83FE13A384CA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24-43B7-AFC9-83FE13A384CA}"/>
                </c:ext>
              </c:extLst>
            </c:dLbl>
            <c:dLbl>
              <c:idx val="4"/>
              <c:layout>
                <c:manualLayout>
                  <c:x val="5.3022364962234392E-2"/>
                  <c:y val="2.5056867447054463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C24-43B7-AFC9-83FE13A384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Nordique Inline" panose="020F0502020204030204" pitchFamily="34" charset="0"/>
                    <a:ea typeface="+mn-ea"/>
                    <a:cs typeface="Nordique Inline" panose="020F0502020204030204" pitchFamily="34" charset="0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Traitement!$A$14:$E$14</c:f>
              <c:numCache>
                <c:formatCode>0%</c:formatCode>
                <c:ptCount val="5"/>
                <c:pt idx="0">
                  <c:v>0.18148148148148099</c:v>
                </c:pt>
                <c:pt idx="1">
                  <c:v>0.29262164124909201</c:v>
                </c:pt>
                <c:pt idx="2">
                  <c:v>0.49626724763979602</c:v>
                </c:pt>
                <c:pt idx="3">
                  <c:v>1.48148148148148E-2</c:v>
                </c:pt>
                <c:pt idx="4">
                  <c:v>1.48148148148148E-2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24-43B7-AFC9-83FE13A38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noThreeD="1" sel="0" val="0"/>
</file>

<file path=xl/ctrlProps/ctrlProp4.xml><?xml version="1.0" encoding="utf-8"?>
<formControlPr xmlns="http://schemas.microsoft.com/office/spreadsheetml/2009/9/main" objectType="Drop" dropStyle="combo" dx="15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sv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4.png"/><Relationship Id="rId5" Type="http://schemas.openxmlformats.org/officeDocument/2006/relationships/image" Target="../media/image3.svg"/><Relationship Id="rId4" Type="http://schemas.openxmlformats.org/officeDocument/2006/relationships/image" Target="../media/image2.png"/><Relationship Id="rId9" Type="http://schemas.openxmlformats.org/officeDocument/2006/relationships/image" Target="../media/image7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sv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4.png"/><Relationship Id="rId11" Type="http://schemas.openxmlformats.org/officeDocument/2006/relationships/image" Target="../media/image9.svg"/><Relationship Id="rId5" Type="http://schemas.openxmlformats.org/officeDocument/2006/relationships/image" Target="../media/image3.sv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sv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784860</xdr:colOff>
          <xdr:row>7</xdr:row>
          <xdr:rowOff>22860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736600</xdr:colOff>
      <xdr:row>6</xdr:row>
      <xdr:rowOff>0</xdr:rowOff>
    </xdr:from>
    <xdr:to>
      <xdr:col>13</xdr:col>
      <xdr:colOff>165100</xdr:colOff>
      <xdr:row>9</xdr:row>
      <xdr:rowOff>25400</xdr:rowOff>
    </xdr:to>
    <xdr:sp macro="" textlink="">
      <xdr:nvSpPr>
        <xdr:cNvPr id="6185" name="ZoneTexte 6184">
          <a:extLst>
            <a:ext uri="{FF2B5EF4-FFF2-40B4-BE49-F238E27FC236}">
              <a16:creationId xmlns:a16="http://schemas.microsoft.com/office/drawing/2014/main" id="{00000000-0008-0000-0100-000029180000}"/>
            </a:ext>
          </a:extLst>
        </xdr:cNvPr>
        <xdr:cNvSpPr txBox="1"/>
      </xdr:nvSpPr>
      <xdr:spPr>
        <a:xfrm>
          <a:off x="3205480" y="118872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5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5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5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0</xdr:col>
      <xdr:colOff>139700</xdr:colOff>
      <xdr:row>9</xdr:row>
      <xdr:rowOff>152400</xdr:rowOff>
    </xdr:from>
    <xdr:to>
      <xdr:col>15</xdr:col>
      <xdr:colOff>774700</xdr:colOff>
      <xdr:row>30</xdr:row>
      <xdr:rowOff>152400</xdr:rowOff>
    </xdr:to>
    <xdr:grpSp>
      <xdr:nvGrpSpPr>
        <xdr:cNvPr id="6186" name="Groupe 6185">
          <a:extLst>
            <a:ext uri="{FF2B5EF4-FFF2-40B4-BE49-F238E27FC236}">
              <a16:creationId xmlns:a16="http://schemas.microsoft.com/office/drawing/2014/main" id="{00000000-0008-0000-0100-00002A180000}"/>
            </a:ext>
          </a:extLst>
        </xdr:cNvPr>
        <xdr:cNvGrpSpPr/>
      </xdr:nvGrpSpPr>
      <xdr:grpSpPr>
        <a:xfrm>
          <a:off x="139700" y="1866900"/>
          <a:ext cx="12922250" cy="4000500"/>
          <a:chOff x="139700" y="838200"/>
          <a:chExt cx="13017500" cy="4267200"/>
        </a:xfrm>
      </xdr:grpSpPr>
      <xdr:grpSp>
        <xdr:nvGrpSpPr>
          <xdr:cNvPr id="6187" name="Groupe 6186">
            <a:extLst>
              <a:ext uri="{FF2B5EF4-FFF2-40B4-BE49-F238E27FC236}">
                <a16:creationId xmlns:a16="http://schemas.microsoft.com/office/drawing/2014/main" id="{00000000-0008-0000-0100-00002B180000}"/>
              </a:ext>
            </a:extLst>
          </xdr:cNvPr>
          <xdr:cNvGrpSpPr/>
        </xdr:nvGrpSpPr>
        <xdr:grpSpPr>
          <a:xfrm>
            <a:off x="139700" y="838200"/>
            <a:ext cx="13017500" cy="4267200"/>
            <a:chOff x="6311900" y="50800"/>
            <a:chExt cx="11125200" cy="4849091"/>
          </a:xfrm>
        </xdr:grpSpPr>
        <xdr:sp macro="" textlink="">
          <xdr:nvSpPr>
            <xdr:cNvPr id="6189" name="Rectangle 6188">
              <a:extLst>
                <a:ext uri="{FF2B5EF4-FFF2-40B4-BE49-F238E27FC236}">
                  <a16:creationId xmlns:a16="http://schemas.microsoft.com/office/drawing/2014/main" id="{00000000-0008-0000-0100-00002D18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aphicFrame macro="">
          <xdr:nvGraphicFramePr>
            <xdr:cNvPr id="6190" name="Graphique 1">
              <a:extLst>
                <a:ext uri="{FF2B5EF4-FFF2-40B4-BE49-F238E27FC236}">
                  <a16:creationId xmlns:a16="http://schemas.microsoft.com/office/drawing/2014/main" id="{00000000-0008-0000-0100-00002E180000}"/>
                </a:ext>
              </a:extLst>
            </xdr:cNvPr>
            <xdr:cNvGraphicFramePr/>
          </xdr:nvGraphicFramePr>
          <xdr:xfrm>
            <a:off x="7437368" y="79664"/>
            <a:ext cx="7410159" cy="48202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Traitement!$A$17">
          <xdr:nvSpPr>
            <xdr:cNvPr id="6191" name="ZoneTexte 6190">
              <a:extLst>
                <a:ext uri="{FF2B5EF4-FFF2-40B4-BE49-F238E27FC236}">
                  <a16:creationId xmlns:a16="http://schemas.microsoft.com/office/drawing/2014/main" id="{00000000-0008-0000-0100-00002F180000}"/>
                </a:ext>
              </a:extLst>
            </xdr:cNvPr>
            <xdr:cNvSpPr txBox="1"/>
          </xdr:nvSpPr>
          <xdr:spPr>
            <a:xfrm>
              <a:off x="12327675" y="764578"/>
              <a:ext cx="4880827" cy="2994764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1ED3D0DC-D5B1-4216-AA44-64E244E3FC5C}" type="TxLink">
                <a:rPr lang="en-US" sz="2600" b="0" i="0" u="none" strike="noStrike">
                  <a:solidFill>
                    <a:srgbClr val="000000"/>
                  </a:solidFill>
                  <a:latin typeface="Nordique Inline" panose="00000500000000000000" pitchFamily="2" charset="0"/>
                  <a:ea typeface="Calibri"/>
                  <a:cs typeface="Calibri"/>
                </a:rPr>
                <a:pPr/>
                <a:t> C'est correct, mais il y a de meilleures options pour votre santé.</a:t>
              </a:fld>
              <a:endParaRPr lang="en-US" sz="2600">
                <a:latin typeface="Nordique Inline" panose="00000500000000000000" pitchFamily="2" charset="0"/>
              </a:endParaRPr>
            </a:p>
          </xdr:txBody>
        </xdr:sp>
        <xdr:sp macro="" textlink="">
          <xdr:nvSpPr>
            <xdr:cNvPr id="6192" name="Rectangle 6191">
              <a:extLst>
                <a:ext uri="{FF2B5EF4-FFF2-40B4-BE49-F238E27FC236}">
                  <a16:creationId xmlns:a16="http://schemas.microsoft.com/office/drawing/2014/main" id="{00000000-0008-0000-0100-000030180000}"/>
                </a:ext>
              </a:extLst>
            </xdr:cNvPr>
            <xdr:cNvSpPr/>
          </xdr:nvSpPr>
          <xdr:spPr>
            <a:xfrm>
              <a:off x="6311900" y="50800"/>
              <a:ext cx="1015909" cy="4127500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6188" name="ZoneTexte 6187">
            <a:extLst>
              <a:ext uri="{FF2B5EF4-FFF2-40B4-BE49-F238E27FC236}">
                <a16:creationId xmlns:a16="http://schemas.microsoft.com/office/drawing/2014/main" id="{00000000-0008-0000-0100-00002C180000}"/>
              </a:ext>
            </a:extLst>
          </xdr:cNvPr>
          <xdr:cNvSpPr txBox="1"/>
        </xdr:nvSpPr>
        <xdr:spPr>
          <a:xfrm>
            <a:off x="190500" y="23876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Jauge</a:t>
            </a:r>
          </a:p>
        </xdr:txBody>
      </xdr:sp>
    </xdr:grpSp>
    <xdr:clientData/>
  </xdr:twoCellAnchor>
  <xdr:twoCellAnchor>
    <xdr:from>
      <xdr:col>6</xdr:col>
      <xdr:colOff>38100</xdr:colOff>
      <xdr:row>28</xdr:row>
      <xdr:rowOff>114297</xdr:rowOff>
    </xdr:from>
    <xdr:to>
      <xdr:col>15</xdr:col>
      <xdr:colOff>749300</xdr:colOff>
      <xdr:row>47</xdr:row>
      <xdr:rowOff>177798</xdr:rowOff>
    </xdr:to>
    <xdr:grpSp>
      <xdr:nvGrpSpPr>
        <xdr:cNvPr id="6193" name="Groupe 6192">
          <a:extLst>
            <a:ext uri="{FF2B5EF4-FFF2-40B4-BE49-F238E27FC236}">
              <a16:creationId xmlns:a16="http://schemas.microsoft.com/office/drawing/2014/main" id="{00000000-0008-0000-0100-000031180000}"/>
            </a:ext>
          </a:extLst>
        </xdr:cNvPr>
        <xdr:cNvGrpSpPr/>
      </xdr:nvGrpSpPr>
      <xdr:grpSpPr>
        <a:xfrm>
          <a:off x="4953000" y="5448297"/>
          <a:ext cx="8083550" cy="3683001"/>
          <a:chOff x="4965700" y="4673597"/>
          <a:chExt cx="8242300" cy="3924301"/>
        </a:xfrm>
      </xdr:grpSpPr>
      <xdr:grpSp>
        <xdr:nvGrpSpPr>
          <xdr:cNvPr id="6194" name="Groupe 6193">
            <a:extLst>
              <a:ext uri="{FF2B5EF4-FFF2-40B4-BE49-F238E27FC236}">
                <a16:creationId xmlns:a16="http://schemas.microsoft.com/office/drawing/2014/main" id="{00000000-0008-0000-0100-000032180000}"/>
              </a:ext>
            </a:extLst>
          </xdr:cNvPr>
          <xdr:cNvGrpSpPr/>
        </xdr:nvGrpSpPr>
        <xdr:grpSpPr>
          <a:xfrm>
            <a:off x="5029200" y="4673597"/>
            <a:ext cx="8178800" cy="3924301"/>
            <a:chOff x="6629400" y="4787898"/>
            <a:chExt cx="11212252" cy="4127502"/>
          </a:xfrm>
        </xdr:grpSpPr>
        <xdr:grpSp>
          <xdr:nvGrpSpPr>
            <xdr:cNvPr id="6196" name="Groupe 6195">
              <a:extLst>
                <a:ext uri="{FF2B5EF4-FFF2-40B4-BE49-F238E27FC236}">
                  <a16:creationId xmlns:a16="http://schemas.microsoft.com/office/drawing/2014/main" id="{00000000-0008-0000-0100-000034180000}"/>
                </a:ext>
              </a:extLst>
            </xdr:cNvPr>
            <xdr:cNvGrpSpPr/>
          </xdr:nvGrpSpPr>
          <xdr:grpSpPr>
            <a:xfrm>
              <a:off x="6629400" y="4787898"/>
              <a:ext cx="11212252" cy="4127502"/>
              <a:chOff x="6680200" y="4800598"/>
              <a:chExt cx="11212252" cy="4127502"/>
            </a:xfrm>
          </xdr:grpSpPr>
          <xdr:grpSp>
            <xdr:nvGrpSpPr>
              <xdr:cNvPr id="6198" name="Groupe 6197">
                <a:extLst>
                  <a:ext uri="{FF2B5EF4-FFF2-40B4-BE49-F238E27FC236}">
                    <a16:creationId xmlns:a16="http://schemas.microsoft.com/office/drawing/2014/main" id="{00000000-0008-0000-0100-000036180000}"/>
                  </a:ext>
                </a:extLst>
              </xdr:cNvPr>
              <xdr:cNvGrpSpPr/>
            </xdr:nvGrpSpPr>
            <xdr:grpSpPr>
              <a:xfrm>
                <a:off x="6680200" y="4800598"/>
                <a:ext cx="11212252" cy="4127502"/>
                <a:chOff x="6311900" y="50798"/>
                <a:chExt cx="11212252" cy="4127502"/>
              </a:xfrm>
            </xdr:grpSpPr>
            <xdr:sp macro="" textlink="">
              <xdr:nvSpPr>
                <xdr:cNvPr id="6202" name="Rectangle 6201">
                  <a:extLst>
                    <a:ext uri="{FF2B5EF4-FFF2-40B4-BE49-F238E27FC236}">
                      <a16:creationId xmlns:a16="http://schemas.microsoft.com/office/drawing/2014/main" id="{00000000-0008-0000-0100-00003A180000}"/>
                    </a:ext>
                  </a:extLst>
                </xdr:cNvPr>
                <xdr:cNvSpPr/>
              </xdr:nvSpPr>
              <xdr:spPr>
                <a:xfrm>
                  <a:off x="6398952" y="50798"/>
                  <a:ext cx="11125200" cy="4127500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6203" name="ZoneTexte 6202">
                  <a:extLst>
                    <a:ext uri="{FF2B5EF4-FFF2-40B4-BE49-F238E27FC236}">
                      <a16:creationId xmlns:a16="http://schemas.microsoft.com/office/drawing/2014/main" id="{00000000-0008-0000-0100-00003B180000}"/>
                    </a:ext>
                  </a:extLst>
                </xdr:cNvPr>
                <xdr:cNvSpPr txBox="1"/>
              </xdr:nvSpPr>
              <xdr:spPr>
                <a:xfrm>
                  <a:off x="13591010" y="1397863"/>
                  <a:ext cx="3604791" cy="1551536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r>
                    <a:rPr lang="en-US" sz="2000" b="0" i="0" u="none" strike="noStrike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Votre</a:t>
                  </a:r>
                  <a:r>
                    <a:rPr lang="en-US" sz="2000" b="0" i="0" u="none" strike="noStrike" baseline="0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 produit a         de chance d'appartenir à la classe</a:t>
                  </a:r>
                </a:p>
              </xdr:txBody>
            </xdr:sp>
            <xdr:sp macro="" textlink="">
              <xdr:nvSpPr>
                <xdr:cNvPr id="6204" name="Rectangle 6203">
                  <a:extLst>
                    <a:ext uri="{FF2B5EF4-FFF2-40B4-BE49-F238E27FC236}">
                      <a16:creationId xmlns:a16="http://schemas.microsoft.com/office/drawing/2014/main" id="{00000000-0008-0000-0100-00003C180000}"/>
                    </a:ext>
                  </a:extLst>
                </xdr:cNvPr>
                <xdr:cNvSpPr/>
              </xdr:nvSpPr>
              <xdr:spPr>
                <a:xfrm>
                  <a:off x="6311900" y="50800"/>
                  <a:ext cx="1397000" cy="4127500"/>
                </a:xfrm>
                <a:prstGeom prst="rect">
                  <a:avLst/>
                </a:prstGeom>
                <a:solidFill>
                  <a:schemeClr val="accent6"/>
                </a:solidFill>
                <a:ln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</xdr:grpSp>
          <xdr:sp macro="" textlink="Traitement!$D$3">
            <xdr:nvSpPr>
              <xdr:cNvPr id="6199" name="ZoneTexte 6198">
                <a:extLst>
                  <a:ext uri="{FF2B5EF4-FFF2-40B4-BE49-F238E27FC236}">
                    <a16:creationId xmlns:a16="http://schemas.microsoft.com/office/drawing/2014/main" id="{00000000-0008-0000-0100-000037180000}"/>
                  </a:ext>
                </a:extLst>
              </xdr:cNvPr>
              <xdr:cNvSpPr txBox="1"/>
            </xdr:nvSpPr>
            <xdr:spPr>
              <a:xfrm>
                <a:off x="16398562" y="6191312"/>
                <a:ext cx="1074186" cy="73684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B6304C90-A849-4A05-9910-6675FCFCC48F}" type="TxLink">
                  <a:rPr lang="en-US" sz="20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pPr/>
                  <a:t>50%</a:t>
                </a:fld>
                <a:endParaRPr lang="fr-FR" sz="20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  <xdr:graphicFrame macro="">
            <xdr:nvGraphicFramePr>
              <xdr:cNvPr id="6200" name="Graphique 6199">
                <a:extLst>
                  <a:ext uri="{FF2B5EF4-FFF2-40B4-BE49-F238E27FC236}">
                    <a16:creationId xmlns:a16="http://schemas.microsoft.com/office/drawing/2014/main" id="{00000000-0008-0000-0100-000038180000}"/>
                  </a:ext>
                </a:extLst>
              </xdr:cNvPr>
              <xdr:cNvGraphicFramePr/>
            </xdr:nvGraphicFramePr>
            <xdr:xfrm>
              <a:off x="8585653" y="5094467"/>
              <a:ext cx="4711342" cy="326320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Traitement!$D$2">
            <xdr:nvSpPr>
              <xdr:cNvPr id="6201" name="ZoneTexte 6200">
                <a:extLst>
                  <a:ext uri="{FF2B5EF4-FFF2-40B4-BE49-F238E27FC236}">
                    <a16:creationId xmlns:a16="http://schemas.microsoft.com/office/drawing/2014/main" id="{00000000-0008-0000-0100-000039180000}"/>
                  </a:ext>
                </a:extLst>
              </xdr:cNvPr>
              <xdr:cNvSpPr txBox="1"/>
            </xdr:nvSpPr>
            <xdr:spPr>
              <a:xfrm>
                <a:off x="15315969" y="7208338"/>
                <a:ext cx="467917" cy="482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7EA3F462-9FAF-4D93-9C2B-671E0C276723}" type="TxLink">
                  <a:rPr lang="en-US" sz="24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pPr/>
                  <a:t>C</a:t>
                </a:fld>
                <a:endParaRPr lang="fr-FR" sz="24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</xdr:grpSp>
        <xdr:sp macro="" textlink="">
          <xdr:nvSpPr>
            <xdr:cNvPr id="6197" name="ZoneTexte 6196">
              <a:extLs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 txBox="1"/>
          </xdr:nvSpPr>
          <xdr:spPr>
            <a:xfrm flipH="1">
              <a:off x="15652955" y="7206728"/>
              <a:ext cx="314080" cy="4113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2000">
                  <a:latin typeface="Nordique Inline" panose="020F0502020204030204" pitchFamily="34" charset="0"/>
                  <a:cs typeface="Nordique Inline" panose="020F0502020204030204" pitchFamily="34" charset="0"/>
                </a:rPr>
                <a:t>!</a:t>
              </a:r>
            </a:p>
          </xdr:txBody>
        </xdr:sp>
      </xdr:grpSp>
      <xdr:sp macro="" textlink="">
        <xdr:nvSpPr>
          <xdr:cNvPr id="6195" name="ZoneTexte 6194">
            <a:extLst>
              <a:ext uri="{FF2B5EF4-FFF2-40B4-BE49-F238E27FC236}">
                <a16:creationId xmlns:a16="http://schemas.microsoft.com/office/drawing/2014/main" id="{00000000-0008-0000-0100-000033180000}"/>
              </a:ext>
            </a:extLst>
          </xdr:cNvPr>
          <xdr:cNvSpPr txBox="1"/>
        </xdr:nvSpPr>
        <xdr:spPr>
          <a:xfrm>
            <a:off x="4965700" y="64262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Classes</a:t>
            </a:r>
          </a:p>
        </xdr:txBody>
      </xdr:sp>
    </xdr:grpSp>
    <xdr:clientData/>
  </xdr:twoCellAnchor>
  <xdr:twoCellAnchor>
    <xdr:from>
      <xdr:col>0</xdr:col>
      <xdr:colOff>25400</xdr:colOff>
      <xdr:row>28</xdr:row>
      <xdr:rowOff>76200</xdr:rowOff>
    </xdr:from>
    <xdr:to>
      <xdr:col>6</xdr:col>
      <xdr:colOff>25400</xdr:colOff>
      <xdr:row>43</xdr:row>
      <xdr:rowOff>76200</xdr:rowOff>
    </xdr:to>
    <xdr:grpSp>
      <xdr:nvGrpSpPr>
        <xdr:cNvPr id="6205" name="Groupe 6204">
          <a:extLst>
            <a:ext uri="{FF2B5EF4-FFF2-40B4-BE49-F238E27FC236}">
              <a16:creationId xmlns:a16="http://schemas.microsoft.com/office/drawing/2014/main" id="{00000000-0008-0000-0100-00003D180000}"/>
            </a:ext>
          </a:extLst>
        </xdr:cNvPr>
        <xdr:cNvGrpSpPr/>
      </xdr:nvGrpSpPr>
      <xdr:grpSpPr>
        <a:xfrm>
          <a:off x="25400" y="5410200"/>
          <a:ext cx="4914900" cy="2857500"/>
          <a:chOff x="38100" y="4648200"/>
          <a:chExt cx="4953000" cy="3048000"/>
        </a:xfrm>
      </xdr:grpSpPr>
      <xdr:grpSp>
        <xdr:nvGrpSpPr>
          <xdr:cNvPr id="6206" name="Groupe 6205">
            <a:extLst>
              <a:ext uri="{FF2B5EF4-FFF2-40B4-BE49-F238E27FC236}">
                <a16:creationId xmlns:a16="http://schemas.microsoft.com/office/drawing/2014/main" id="{00000000-0008-0000-0100-00003E180000}"/>
              </a:ext>
            </a:extLst>
          </xdr:cNvPr>
          <xdr:cNvGrpSpPr/>
        </xdr:nvGrpSpPr>
        <xdr:grpSpPr>
          <a:xfrm>
            <a:off x="152400" y="4648200"/>
            <a:ext cx="4838700" cy="3048000"/>
            <a:chOff x="622301" y="215900"/>
            <a:chExt cx="5509666" cy="4927107"/>
          </a:xfrm>
        </xdr:grpSpPr>
        <xdr:grpSp>
          <xdr:nvGrpSpPr>
            <xdr:cNvPr id="6208" name="Groupe 6207">
              <a:extLst>
                <a:ext uri="{FF2B5EF4-FFF2-40B4-BE49-F238E27FC236}">
                  <a16:creationId xmlns:a16="http://schemas.microsoft.com/office/drawing/2014/main" id="{00000000-0008-0000-0100-000040180000}"/>
                </a:ext>
              </a:extLst>
            </xdr:cNvPr>
            <xdr:cNvGrpSpPr/>
          </xdr:nvGrpSpPr>
          <xdr:grpSpPr>
            <a:xfrm>
              <a:off x="622301" y="215900"/>
              <a:ext cx="5422900" cy="4114800"/>
              <a:chOff x="6311902" y="50800"/>
              <a:chExt cx="11125200" cy="4127501"/>
            </a:xfrm>
          </xdr:grpSpPr>
          <xdr:sp macro="" textlink="">
            <xdr:nvSpPr>
              <xdr:cNvPr id="6214" name="Rectangle 6213">
                <a:extLst>
                  <a:ext uri="{FF2B5EF4-FFF2-40B4-BE49-F238E27FC236}">
                    <a16:creationId xmlns:a16="http://schemas.microsoft.com/office/drawing/2014/main" id="{00000000-0008-0000-0100-000046180000}"/>
                  </a:ext>
                </a:extLst>
              </xdr:cNvPr>
              <xdr:cNvSpPr/>
            </xdr:nvSpPr>
            <xdr:spPr>
              <a:xfrm>
                <a:off x="6311902" y="50800"/>
                <a:ext cx="11125200" cy="4127501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215" name="Rectangle 6214">
                <a:extLst>
                  <a:ext uri="{FF2B5EF4-FFF2-40B4-BE49-F238E27FC236}">
                    <a16:creationId xmlns:a16="http://schemas.microsoft.com/office/drawing/2014/main" id="{00000000-0008-0000-0100-000047180000}"/>
                  </a:ext>
                </a:extLst>
              </xdr:cNvPr>
              <xdr:cNvSpPr/>
            </xdr:nvSpPr>
            <xdr:spPr>
              <a:xfrm>
                <a:off x="6337953" y="63780"/>
                <a:ext cx="2732996" cy="4114521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3]Données!E21">
          <xdr:nvSpPr>
            <xdr:cNvPr id="6209" name="ZoneTexte 6208">
              <a:extLst>
                <a:ext uri="{FF2B5EF4-FFF2-40B4-BE49-F238E27FC236}">
                  <a16:creationId xmlns:a16="http://schemas.microsoft.com/office/drawing/2014/main" id="{00000000-0008-0000-0100-000041180000}"/>
                </a:ext>
              </a:extLst>
            </xdr:cNvPr>
            <xdr:cNvSpPr txBox="1"/>
          </xdr:nvSpPr>
          <xdr:spPr>
            <a:xfrm>
              <a:off x="3555934" y="1717459"/>
              <a:ext cx="1485899" cy="1146762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B5FF3A4C-8D18-B94C-B05D-2AD12C0F882B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Sucre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3]Données!E22">
          <xdr:nvSpPr>
            <xdr:cNvPr id="6210" name="ZoneTexte 6209">
              <a:extLst>
                <a:ext uri="{FF2B5EF4-FFF2-40B4-BE49-F238E27FC236}">
                  <a16:creationId xmlns:a16="http://schemas.microsoft.com/office/drawing/2014/main" id="{00000000-0008-0000-0100-000042180000}"/>
                </a:ext>
              </a:extLst>
            </xdr:cNvPr>
            <xdr:cNvSpPr txBox="1"/>
          </xdr:nvSpPr>
          <xdr:spPr>
            <a:xfrm>
              <a:off x="2578100" y="2108200"/>
              <a:ext cx="881439" cy="9144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3CF594CD-A78F-014F-8F73-DCBB0E1E8A72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Sel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3]Données!E23">
          <xdr:nvSpPr>
            <xdr:cNvPr id="6211" name="ZoneTexte 6210">
              <a:extLst>
                <a:ext uri="{FF2B5EF4-FFF2-40B4-BE49-F238E27FC236}">
                  <a16:creationId xmlns:a16="http://schemas.microsoft.com/office/drawing/2014/main" id="{00000000-0008-0000-0100-000043180000}"/>
                </a:ext>
              </a:extLst>
            </xdr:cNvPr>
            <xdr:cNvSpPr txBox="1"/>
          </xdr:nvSpPr>
          <xdr:spPr>
            <a:xfrm>
              <a:off x="4622799" y="1905000"/>
              <a:ext cx="1422401" cy="1554578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0120F50-526D-E445-B57B-EE88BD68721D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Matières grasses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pic>
          <xdr:nvPicPr>
            <xdr:cNvPr id="6212" name="Image 6211">
              <a:extLst>
                <a:ext uri="{FF2B5EF4-FFF2-40B4-BE49-F238E27FC236}">
                  <a16:creationId xmlns:a16="http://schemas.microsoft.com/office/drawing/2014/main" id="{00000000-0008-0000-0100-0000441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51277" y="1489908"/>
              <a:ext cx="3098800" cy="3653099"/>
            </a:xfrm>
            <a:prstGeom prst="rect">
              <a:avLst/>
            </a:prstGeom>
          </xdr:spPr>
        </xdr:pic>
        <xdr:sp macro="" textlink="">
          <xdr:nvSpPr>
            <xdr:cNvPr id="6213" name="ZoneTexte 6212">
              <a:extLst>
                <a:ext uri="{FF2B5EF4-FFF2-40B4-BE49-F238E27FC236}">
                  <a16:creationId xmlns:a16="http://schemas.microsoft.com/office/drawing/2014/main" id="{00000000-0008-0000-0100-000045180000}"/>
                </a:ext>
              </a:extLst>
            </xdr:cNvPr>
            <xdr:cNvSpPr txBox="1"/>
          </xdr:nvSpPr>
          <xdr:spPr>
            <a:xfrm>
              <a:off x="1808108" y="262691"/>
              <a:ext cx="4323859" cy="132869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fr-FR" sz="150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Top 3</a:t>
              </a:r>
              <a:r>
                <a:rPr lang="fr-FR" sz="1500" baseline="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 des nutriments qui contribuent au score</a:t>
              </a:r>
              <a:endParaRPr lang="fr-FR" sz="1500">
                <a:solidFill>
                  <a:sysClr val="windowText" lastClr="000000"/>
                </a:solidFill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</xdr:grpSp>
      <xdr:sp macro="" textlink="">
        <xdr:nvSpPr>
          <xdr:cNvPr id="6207" name="ZoneTexte 6206">
            <a:extLst>
              <a:ext uri="{FF2B5EF4-FFF2-40B4-BE49-F238E27FC236}">
                <a16:creationId xmlns:a16="http://schemas.microsoft.com/office/drawing/2014/main" id="{00000000-0008-0000-0100-00003F180000}"/>
              </a:ext>
            </a:extLst>
          </xdr:cNvPr>
          <xdr:cNvSpPr txBox="1"/>
        </xdr:nvSpPr>
        <xdr:spPr>
          <a:xfrm>
            <a:off x="38100" y="5638800"/>
            <a:ext cx="13843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Classement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6</xdr:row>
          <xdr:rowOff>22860</xdr:rowOff>
        </xdr:from>
        <xdr:to>
          <xdr:col>13</xdr:col>
          <xdr:colOff>556260</xdr:colOff>
          <xdr:row>8</xdr:row>
          <xdr:rowOff>167640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165100</xdr:colOff>
      <xdr:row>41</xdr:row>
      <xdr:rowOff>152400</xdr:rowOff>
    </xdr:from>
    <xdr:to>
      <xdr:col>5</xdr:col>
      <xdr:colOff>812800</xdr:colOff>
      <xdr:row>48</xdr:row>
      <xdr:rowOff>0</xdr:rowOff>
    </xdr:to>
    <xdr:grpSp>
      <xdr:nvGrpSpPr>
        <xdr:cNvPr id="6217" name="Groupe 6216">
          <a:extLst>
            <a:ext uri="{FF2B5EF4-FFF2-40B4-BE49-F238E27FC236}">
              <a16:creationId xmlns:a16="http://schemas.microsoft.com/office/drawing/2014/main" id="{00000000-0008-0000-0100-000049180000}"/>
            </a:ext>
          </a:extLst>
        </xdr:cNvPr>
        <xdr:cNvGrpSpPr/>
      </xdr:nvGrpSpPr>
      <xdr:grpSpPr>
        <a:xfrm>
          <a:off x="165100" y="7962900"/>
          <a:ext cx="4743450" cy="1181100"/>
          <a:chOff x="152400" y="7353300"/>
          <a:chExt cx="4775200" cy="1270000"/>
        </a:xfrm>
      </xdr:grpSpPr>
      <xdr:sp macro="" textlink="">
        <xdr:nvSpPr>
          <xdr:cNvPr id="6218" name="Rectangle 6217">
            <a:extLst>
              <a:ext uri="{FF2B5EF4-FFF2-40B4-BE49-F238E27FC236}">
                <a16:creationId xmlns:a16="http://schemas.microsoft.com/office/drawing/2014/main" id="{00000000-0008-0000-0100-00004A180000}"/>
              </a:ext>
            </a:extLst>
          </xdr:cNvPr>
          <xdr:cNvSpPr/>
        </xdr:nvSpPr>
        <xdr:spPr>
          <a:xfrm>
            <a:off x="152400" y="7353300"/>
            <a:ext cx="4775200" cy="12700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6219" name="Groupe 6218">
            <a:extLst>
              <a:ext uri="{FF2B5EF4-FFF2-40B4-BE49-F238E27FC236}">
                <a16:creationId xmlns:a16="http://schemas.microsoft.com/office/drawing/2014/main" id="{00000000-0008-0000-0100-00004B180000}"/>
              </a:ext>
            </a:extLst>
          </xdr:cNvPr>
          <xdr:cNvGrpSpPr/>
        </xdr:nvGrpSpPr>
        <xdr:grpSpPr>
          <a:xfrm>
            <a:off x="1219200" y="7505700"/>
            <a:ext cx="2540000" cy="981567"/>
            <a:chOff x="5981700" y="7073900"/>
            <a:chExt cx="3362580" cy="1260967"/>
          </a:xfrm>
        </xdr:grpSpPr>
        <xdr:sp macro="[0]!retour" textlink="">
          <xdr:nvSpPr>
            <xdr:cNvPr id="6220" name="Freeform 29">
              <a:extLst>
                <a:ext uri="{FF2B5EF4-FFF2-40B4-BE49-F238E27FC236}">
                  <a16:creationId xmlns:a16="http://schemas.microsoft.com/office/drawing/2014/main" id="{00000000-0008-0000-0100-00004C180000}"/>
                </a:ext>
              </a:extLst>
            </xdr:cNvPr>
            <xdr:cNvSpPr/>
          </xdr:nvSpPr>
          <xdr:spPr>
            <a:xfrm>
              <a:off x="5981700" y="7073900"/>
              <a:ext cx="3362580" cy="1260967"/>
            </a:xfrm>
            <a:custGeom>
              <a:avLst/>
              <a:gdLst/>
              <a:ahLst/>
              <a:cxnLst/>
              <a:rect l="l" t="t" r="r" b="b"/>
              <a:pathLst>
                <a:path w="3362580" h="1260967">
                  <a:moveTo>
                    <a:pt x="0" y="0"/>
                  </a:moveTo>
                  <a:lnTo>
                    <a:pt x="3362580" y="0"/>
                  </a:lnTo>
                  <a:lnTo>
                    <a:pt x="3362580" y="1260967"/>
                  </a:lnTo>
                  <a:lnTo>
                    <a:pt x="0" y="126096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fr-FR"/>
            </a:p>
          </xdr:txBody>
        </xdr:sp>
        <xdr:sp macro="" textlink="">
          <xdr:nvSpPr>
            <xdr:cNvPr id="6221" name="TextBox 44">
              <a:extLst>
                <a:ext uri="{FF2B5EF4-FFF2-40B4-BE49-F238E27FC236}">
                  <a16:creationId xmlns:a16="http://schemas.microsoft.com/office/drawing/2014/main" id="{00000000-0008-0000-0100-00004D180000}"/>
                </a:ext>
              </a:extLst>
            </xdr:cNvPr>
            <xdr:cNvSpPr txBox="1"/>
          </xdr:nvSpPr>
          <xdr:spPr>
            <a:xfrm>
              <a:off x="6451599" y="7251795"/>
              <a:ext cx="2432149" cy="69422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4675"/>
                </a:lnSpc>
                <a:spcBef>
                  <a:spcPct val="0"/>
                </a:spcBef>
              </a:pPr>
              <a:r>
                <a:rPr lang="en-US" sz="2799" b="1">
                  <a:solidFill>
                    <a:srgbClr val="1F1347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MENU</a:t>
              </a:r>
            </a:p>
          </xdr:txBody>
        </xdr:sp>
      </xdr:grpSp>
    </xdr:grpSp>
    <xdr:clientData/>
  </xdr:twoCellAnchor>
  <xdr:twoCellAnchor>
    <xdr:from>
      <xdr:col>0</xdr:col>
      <xdr:colOff>88900</xdr:colOff>
      <xdr:row>0</xdr:row>
      <xdr:rowOff>38100</xdr:rowOff>
    </xdr:from>
    <xdr:to>
      <xdr:col>14</xdr:col>
      <xdr:colOff>279400</xdr:colOff>
      <xdr:row>4</xdr:row>
      <xdr:rowOff>76200</xdr:rowOff>
    </xdr:to>
    <xdr:sp macro="" textlink="">
      <xdr:nvSpPr>
        <xdr:cNvPr id="6222" name="ZoneTexte 6221">
          <a:extLst>
            <a:ext uri="{FF2B5EF4-FFF2-40B4-BE49-F238E27FC236}">
              <a16:creationId xmlns:a16="http://schemas.microsoft.com/office/drawing/2014/main" id="{00000000-0008-0000-0100-00004E180000}"/>
            </a:ext>
          </a:extLst>
        </xdr:cNvPr>
        <xdr:cNvSpPr txBox="1"/>
      </xdr:nvSpPr>
      <xdr:spPr>
        <a:xfrm>
          <a:off x="88900" y="38100"/>
          <a:ext cx="11711940" cy="830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500" b="1" i="0" u="none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Vous êtes sur</a:t>
          </a:r>
          <a:r>
            <a:rPr lang="fr-FR" sz="2500" b="1" i="0" u="none" baseline="0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 le Dashboard pour les consommateurs !</a:t>
          </a:r>
          <a:endParaRPr lang="fr-FR" sz="2500" b="1" i="0" u="none">
            <a:solidFill>
              <a:schemeClr val="dk1"/>
            </a:solidFill>
            <a:effectLst/>
            <a:latin typeface="ADLaM Display" panose="02010000000000000000" pitchFamily="2" charset="77"/>
            <a:ea typeface="ADLaM Display" panose="02010000000000000000" pitchFamily="2" charset="77"/>
            <a:cs typeface="ADLaM Display" panose="02010000000000000000" pitchFamily="2" charset="77"/>
          </a:endParaRPr>
        </a:p>
        <a:p>
          <a:endParaRPr lang="fr-FR" sz="1100"/>
        </a:p>
      </xdr:txBody>
    </xdr:sp>
    <xdr:clientData/>
  </xdr:twoCellAnchor>
  <xdr:twoCellAnchor editAs="oneCell">
    <xdr:from>
      <xdr:col>10</xdr:col>
      <xdr:colOff>435419</xdr:colOff>
      <xdr:row>31</xdr:row>
      <xdr:rowOff>64997</xdr:rowOff>
    </xdr:from>
    <xdr:to>
      <xdr:col>12</xdr:col>
      <xdr:colOff>394496</xdr:colOff>
      <xdr:row>44</xdr:row>
      <xdr:rowOff>1682</xdr:rowOff>
    </xdr:to>
    <xdr:pic>
      <xdr:nvPicPr>
        <xdr:cNvPr id="6223" name="Graphique 6222">
          <a:extLst>
            <a:ext uri="{FF2B5EF4-FFF2-40B4-BE49-F238E27FC236}">
              <a16:creationId xmlns:a16="http://schemas.microsoft.com/office/drawing/2014/main" id="{00000000-0008-0000-0100-00004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3839293" flipV="1">
          <a:off x="8310455" y="6561281"/>
          <a:ext cx="2314125" cy="1604997"/>
        </a:xfrm>
        <a:prstGeom prst="rect">
          <a:avLst/>
        </a:prstGeom>
      </xdr:spPr>
    </xdr:pic>
    <xdr:clientData/>
  </xdr:twoCellAnchor>
  <xdr:twoCellAnchor editAs="oneCell">
    <xdr:from>
      <xdr:col>7</xdr:col>
      <xdr:colOff>152894</xdr:colOff>
      <xdr:row>31</xdr:row>
      <xdr:rowOff>139257</xdr:rowOff>
    </xdr:from>
    <xdr:to>
      <xdr:col>8</xdr:col>
      <xdr:colOff>800497</xdr:colOff>
      <xdr:row>44</xdr:row>
      <xdr:rowOff>76597</xdr:rowOff>
    </xdr:to>
    <xdr:pic>
      <xdr:nvPicPr>
        <xdr:cNvPr id="6224" name="Graphique 6223">
          <a:extLst>
            <a:ext uri="{FF2B5EF4-FFF2-40B4-BE49-F238E27FC236}">
              <a16:creationId xmlns:a16="http://schemas.microsoft.com/office/drawing/2014/main" id="{00000000-0008-0000-0100-00005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8793481">
          <a:off x="5491506" y="6703085"/>
          <a:ext cx="2314780" cy="1470563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</cdr:x>
      <cdr:y>0.60249</cdr:y>
    </cdr:from>
    <cdr:to>
      <cdr:x>0.38542</cdr:x>
      <cdr:y>0.85542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0" y="2165399"/>
          <a:ext cx="3641756" cy="909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  <a:latin typeface="Nordique Inline" panose="020F0502020204030204" pitchFamily="34" charset="0"/>
              <a:cs typeface="Nordique Inline" panose="020F0502020204030204" pitchFamily="34" charset="0"/>
            </a:rPr>
            <a:t>Nutri-score : </a:t>
          </a:r>
        </a:p>
      </cdr:txBody>
    </cdr:sp>
  </cdr:relSizeAnchor>
  <cdr:relSizeAnchor xmlns:cdr="http://schemas.openxmlformats.org/drawingml/2006/chartDrawing">
    <cdr:from>
      <cdr:x>0.39793</cdr:x>
      <cdr:y>0.61272</cdr:y>
    </cdr:from>
    <cdr:to>
      <cdr:x>0.51475</cdr:x>
      <cdr:y>0.76683</cdr:y>
    </cdr:to>
    <cdr:sp macro="" textlink="Traitement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3457478" y="2366979"/>
          <a:ext cx="1015012" cy="5953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34D7BA8-1DE2-40AC-881C-ED3AFDB4910D}" type="TxLink">
            <a:rPr lang="en-US" sz="2400" b="0" i="0" u="none" strike="noStrike">
              <a:solidFill>
                <a:srgbClr val="000000"/>
              </a:solidFill>
              <a:latin typeface="Nordique Inline" panose="00000500000000000000" pitchFamily="2" charset="0"/>
              <a:ea typeface="Calibri"/>
              <a:cs typeface="Arial" panose="020B0604020202020204" pitchFamily="34" charset="0"/>
            </a:rPr>
            <a:pPr/>
            <a:t>C</a:t>
          </a:fld>
          <a:endParaRPr lang="fr-FR" sz="2400">
            <a:solidFill>
              <a:srgbClr val="002060"/>
            </a:solidFill>
            <a:latin typeface="Nordique Inline" panose="00000500000000000000" pitchFamily="2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736600</xdr:colOff>
      <xdr:row>6</xdr:row>
      <xdr:rowOff>0</xdr:rowOff>
    </xdr:from>
    <xdr:to>
      <xdr:col>13</xdr:col>
      <xdr:colOff>165100</xdr:colOff>
      <xdr:row>9</xdr:row>
      <xdr:rowOff>25400</xdr:rowOff>
    </xdr:to>
    <xdr:sp macro="" textlink="">
      <xdr:nvSpPr>
        <xdr:cNvPr id="9216" name="ZoneTexte 9215">
          <a:extLst>
            <a:ext uri="{FF2B5EF4-FFF2-40B4-BE49-F238E27FC236}">
              <a16:creationId xmlns:a16="http://schemas.microsoft.com/office/drawing/2014/main" id="{00000000-0008-0000-0200-000000240000}"/>
            </a:ext>
          </a:extLst>
        </xdr:cNvPr>
        <xdr:cNvSpPr txBox="1"/>
      </xdr:nvSpPr>
      <xdr:spPr>
        <a:xfrm>
          <a:off x="3205480" y="118872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5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5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5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0</xdr:col>
      <xdr:colOff>139700</xdr:colOff>
      <xdr:row>9</xdr:row>
      <xdr:rowOff>152400</xdr:rowOff>
    </xdr:from>
    <xdr:to>
      <xdr:col>15</xdr:col>
      <xdr:colOff>774700</xdr:colOff>
      <xdr:row>30</xdr:row>
      <xdr:rowOff>152400</xdr:rowOff>
    </xdr:to>
    <xdr:grpSp>
      <xdr:nvGrpSpPr>
        <xdr:cNvPr id="9218" name="Groupe 9217">
          <a:extLs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GrpSpPr/>
      </xdr:nvGrpSpPr>
      <xdr:grpSpPr>
        <a:xfrm>
          <a:off x="139700" y="1773382"/>
          <a:ext cx="12896273" cy="3782291"/>
          <a:chOff x="139700" y="838200"/>
          <a:chExt cx="13017500" cy="4267200"/>
        </a:xfrm>
      </xdr:grpSpPr>
      <xdr:grpSp>
        <xdr:nvGrpSpPr>
          <xdr:cNvPr id="9219" name="Groupe 9218">
            <a:extLst>
              <a:ext uri="{FF2B5EF4-FFF2-40B4-BE49-F238E27FC236}">
                <a16:creationId xmlns:a16="http://schemas.microsoft.com/office/drawing/2014/main" id="{00000000-0008-0000-0200-000003240000}"/>
              </a:ext>
            </a:extLst>
          </xdr:cNvPr>
          <xdr:cNvGrpSpPr/>
        </xdr:nvGrpSpPr>
        <xdr:grpSpPr>
          <a:xfrm>
            <a:off x="139700" y="838200"/>
            <a:ext cx="13017500" cy="4267200"/>
            <a:chOff x="6311900" y="50800"/>
            <a:chExt cx="11125200" cy="4849091"/>
          </a:xfrm>
        </xdr:grpSpPr>
        <xdr:sp macro="" textlink="">
          <xdr:nvSpPr>
            <xdr:cNvPr id="9221" name="Rectangle 9220">
              <a:extLs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aphicFrame macro="">
          <xdr:nvGraphicFramePr>
            <xdr:cNvPr id="9222" name="Graphique 1">
              <a:extLs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GraphicFramePr/>
          </xdr:nvGraphicFramePr>
          <xdr:xfrm>
            <a:off x="7437368" y="79664"/>
            <a:ext cx="7410159" cy="48202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Traitement!$A$20">
          <xdr:nvSpPr>
            <xdr:cNvPr id="9223" name="ZoneTexte 9222">
              <a:extLs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 txBox="1"/>
          </xdr:nvSpPr>
          <xdr:spPr>
            <a:xfrm>
              <a:off x="12327675" y="764578"/>
              <a:ext cx="4880827" cy="2994764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A2D88185-25CA-4F29-9788-1B7F57D810BB}" type="TxLink">
                <a:rPr lang="en-US" sz="2600" b="0" i="0" u="none" strike="noStrike">
                  <a:solidFill>
                    <a:srgbClr val="000000"/>
                  </a:solidFill>
                  <a:latin typeface="Nordique Inline" panose="00000500000000000000" pitchFamily="2" charset="0"/>
                  <a:ea typeface="Calibri"/>
                  <a:cs typeface="Calibri"/>
                </a:rPr>
                <a:pPr/>
                <a:t>Votre produit montre des aspects positifs tout en laissant place à des améliorations.</a:t>
              </a:fld>
              <a:endParaRPr lang="fr-FR" sz="2600">
                <a:latin typeface="Nordique Inline" panose="00000500000000000000" pitchFamily="2" charset="0"/>
                <a:cs typeface="Nordique Inline" panose="020F0502020204030204" pitchFamily="34" charset="0"/>
              </a:endParaRPr>
            </a:p>
          </xdr:txBody>
        </xdr:sp>
        <xdr:sp macro="" textlink="">
          <xdr:nvSpPr>
            <xdr:cNvPr id="9224" name="Rectangle 9223">
              <a:extLs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>
            <a:xfrm>
              <a:off x="6311900" y="50800"/>
              <a:ext cx="1015909" cy="4127500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9220" name="ZoneTexte 9219">
            <a:extLst>
              <a:ext uri="{FF2B5EF4-FFF2-40B4-BE49-F238E27FC236}">
                <a16:creationId xmlns:a16="http://schemas.microsoft.com/office/drawing/2014/main" id="{00000000-0008-0000-0200-000004240000}"/>
              </a:ext>
            </a:extLst>
          </xdr:cNvPr>
          <xdr:cNvSpPr txBox="1"/>
        </xdr:nvSpPr>
        <xdr:spPr>
          <a:xfrm>
            <a:off x="190500" y="23876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Jauge</a:t>
            </a:r>
          </a:p>
        </xdr:txBody>
      </xdr:sp>
    </xdr:grpSp>
    <xdr:clientData/>
  </xdr:twoCellAnchor>
  <xdr:twoCellAnchor>
    <xdr:from>
      <xdr:col>6</xdr:col>
      <xdr:colOff>38100</xdr:colOff>
      <xdr:row>28</xdr:row>
      <xdr:rowOff>114297</xdr:rowOff>
    </xdr:from>
    <xdr:to>
      <xdr:col>15</xdr:col>
      <xdr:colOff>749300</xdr:colOff>
      <xdr:row>47</xdr:row>
      <xdr:rowOff>177798</xdr:rowOff>
    </xdr:to>
    <xdr:grpSp>
      <xdr:nvGrpSpPr>
        <xdr:cNvPr id="9225" name="Groupe 9224">
          <a:extLst>
            <a:ext uri="{FF2B5EF4-FFF2-40B4-BE49-F238E27FC236}">
              <a16:creationId xmlns:a16="http://schemas.microsoft.com/office/drawing/2014/main" id="{00000000-0008-0000-0200-000009240000}"/>
            </a:ext>
          </a:extLst>
        </xdr:cNvPr>
        <xdr:cNvGrpSpPr/>
      </xdr:nvGrpSpPr>
      <xdr:grpSpPr>
        <a:xfrm>
          <a:off x="4942609" y="5157352"/>
          <a:ext cx="8067964" cy="3485573"/>
          <a:chOff x="4965700" y="4673597"/>
          <a:chExt cx="8242300" cy="3924301"/>
        </a:xfrm>
      </xdr:grpSpPr>
      <xdr:grpSp>
        <xdr:nvGrpSpPr>
          <xdr:cNvPr id="9226" name="Groupe 9225">
            <a:extLst>
              <a:ext uri="{FF2B5EF4-FFF2-40B4-BE49-F238E27FC236}">
                <a16:creationId xmlns:a16="http://schemas.microsoft.com/office/drawing/2014/main" id="{00000000-0008-0000-0200-00000A240000}"/>
              </a:ext>
            </a:extLst>
          </xdr:cNvPr>
          <xdr:cNvGrpSpPr/>
        </xdr:nvGrpSpPr>
        <xdr:grpSpPr>
          <a:xfrm>
            <a:off x="5029200" y="4673597"/>
            <a:ext cx="8178800" cy="3924301"/>
            <a:chOff x="6629400" y="4787898"/>
            <a:chExt cx="11212252" cy="4127502"/>
          </a:xfrm>
        </xdr:grpSpPr>
        <xdr:grpSp>
          <xdr:nvGrpSpPr>
            <xdr:cNvPr id="9228" name="Groupe 9227">
              <a:extLs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GrpSpPr/>
          </xdr:nvGrpSpPr>
          <xdr:grpSpPr>
            <a:xfrm>
              <a:off x="6629400" y="4787898"/>
              <a:ext cx="11212252" cy="4127502"/>
              <a:chOff x="6680200" y="4800598"/>
              <a:chExt cx="11212252" cy="4127502"/>
            </a:xfrm>
          </xdr:grpSpPr>
          <xdr:grpSp>
            <xdr:nvGrpSpPr>
              <xdr:cNvPr id="9230" name="Groupe 9229">
                <a:extLst>
                  <a:ext uri="{FF2B5EF4-FFF2-40B4-BE49-F238E27FC236}">
                    <a16:creationId xmlns:a16="http://schemas.microsoft.com/office/drawing/2014/main" id="{00000000-0008-0000-0200-00000E240000}"/>
                  </a:ext>
                </a:extLst>
              </xdr:cNvPr>
              <xdr:cNvGrpSpPr/>
            </xdr:nvGrpSpPr>
            <xdr:grpSpPr>
              <a:xfrm>
                <a:off x="6680200" y="4800598"/>
                <a:ext cx="11212252" cy="4127502"/>
                <a:chOff x="6311900" y="50798"/>
                <a:chExt cx="11212252" cy="4127502"/>
              </a:xfrm>
            </xdr:grpSpPr>
            <xdr:sp macro="" textlink="">
              <xdr:nvSpPr>
                <xdr:cNvPr id="9234" name="Rectangle 9233">
                  <a:extLst>
                    <a:ext uri="{FF2B5EF4-FFF2-40B4-BE49-F238E27FC236}">
                      <a16:creationId xmlns:a16="http://schemas.microsoft.com/office/drawing/2014/main" id="{00000000-0008-0000-0200-000012240000}"/>
                    </a:ext>
                  </a:extLst>
                </xdr:cNvPr>
                <xdr:cNvSpPr/>
              </xdr:nvSpPr>
              <xdr:spPr>
                <a:xfrm>
                  <a:off x="6398952" y="50798"/>
                  <a:ext cx="11125200" cy="4127500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9235" name="ZoneTexte 9234">
                  <a:extLst>
                    <a:ext uri="{FF2B5EF4-FFF2-40B4-BE49-F238E27FC236}">
                      <a16:creationId xmlns:a16="http://schemas.microsoft.com/office/drawing/2014/main" id="{00000000-0008-0000-0200-000013240000}"/>
                    </a:ext>
                  </a:extLst>
                </xdr:cNvPr>
                <xdr:cNvSpPr txBox="1"/>
              </xdr:nvSpPr>
              <xdr:spPr>
                <a:xfrm>
                  <a:off x="13758256" y="1129502"/>
                  <a:ext cx="3570244" cy="1819897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r>
                    <a:rPr lang="en-US" sz="2000" b="0" i="0" u="none" strike="noStrike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Votre</a:t>
                  </a:r>
                  <a:r>
                    <a:rPr lang="en-US" sz="2000" b="0" i="0" u="none" strike="noStrike" baseline="0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 produit a         de chance d'appartenir à la classe</a:t>
                  </a:r>
                </a:p>
              </xdr:txBody>
            </xdr:sp>
            <xdr:sp macro="" textlink="">
              <xdr:nvSpPr>
                <xdr:cNvPr id="9236" name="Rectangle 9235">
                  <a:extLst>
                    <a:ext uri="{FF2B5EF4-FFF2-40B4-BE49-F238E27FC236}">
                      <a16:creationId xmlns:a16="http://schemas.microsoft.com/office/drawing/2014/main" id="{00000000-0008-0000-0200-000014240000}"/>
                    </a:ext>
                  </a:extLst>
                </xdr:cNvPr>
                <xdr:cNvSpPr/>
              </xdr:nvSpPr>
              <xdr:spPr>
                <a:xfrm>
                  <a:off x="6311900" y="50800"/>
                  <a:ext cx="1397000" cy="4127500"/>
                </a:xfrm>
                <a:prstGeom prst="rect">
                  <a:avLst/>
                </a:prstGeom>
                <a:solidFill>
                  <a:schemeClr val="accent6"/>
                </a:solidFill>
                <a:ln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</xdr:grpSp>
          <xdr:sp macro="" textlink="Traitement!$D$3">
            <xdr:nvSpPr>
              <xdr:cNvPr id="9231" name="ZoneTexte 9230">
                <a:extLst>
                  <a:ext uri="{FF2B5EF4-FFF2-40B4-BE49-F238E27FC236}">
                    <a16:creationId xmlns:a16="http://schemas.microsoft.com/office/drawing/2014/main" id="{00000000-0008-0000-0200-00000F240000}"/>
                  </a:ext>
                </a:extLst>
              </xdr:cNvPr>
              <xdr:cNvSpPr txBox="1"/>
            </xdr:nvSpPr>
            <xdr:spPr>
              <a:xfrm>
                <a:off x="16579513" y="5942354"/>
                <a:ext cx="1156094" cy="6588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9EA1010A-1738-4761-8A9E-CA98B4ED9F0F}" type="TxLink">
                  <a:rPr lang="en-US" sz="24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pPr/>
                  <a:t>50%</a:t>
                </a:fld>
                <a:endParaRPr lang="fr-FR" sz="24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  <xdr:graphicFrame macro="">
            <xdr:nvGraphicFramePr>
              <xdr:cNvPr id="9232" name="Graphique 9231">
                <a:extLst>
                  <a:ext uri="{FF2B5EF4-FFF2-40B4-BE49-F238E27FC236}">
                    <a16:creationId xmlns:a16="http://schemas.microsoft.com/office/drawing/2014/main" id="{00000000-0008-0000-0200-000010240000}"/>
                  </a:ext>
                </a:extLst>
              </xdr:cNvPr>
              <xdr:cNvGraphicFramePr/>
            </xdr:nvGraphicFramePr>
            <xdr:xfrm>
              <a:off x="8585653" y="5094467"/>
              <a:ext cx="4711342" cy="326320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Traitement!$D$2">
            <xdr:nvSpPr>
              <xdr:cNvPr id="9233" name="ZoneTexte 9232">
                <a:extLst>
                  <a:ext uri="{FF2B5EF4-FFF2-40B4-BE49-F238E27FC236}">
                    <a16:creationId xmlns:a16="http://schemas.microsoft.com/office/drawing/2014/main" id="{00000000-0008-0000-0200-000011240000}"/>
                  </a:ext>
                </a:extLst>
              </xdr:cNvPr>
              <xdr:cNvSpPr txBox="1"/>
            </xdr:nvSpPr>
            <xdr:spPr>
              <a:xfrm>
                <a:off x="15335374" y="7060683"/>
                <a:ext cx="479287" cy="52485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D19712CE-DB31-42A9-A0D1-80770C01C7E6}" type="TxLink">
                  <a:rPr lang="en-US" sz="24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pPr/>
                  <a:t>C</a:t>
                </a:fld>
                <a:endParaRPr lang="fr-FR" sz="24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</xdr:grpSp>
        <xdr:sp macro="" textlink="">
          <xdr:nvSpPr>
            <xdr:cNvPr id="9229" name="ZoneTexte 9228">
              <a:extLst>
                <a:ext uri="{FF2B5EF4-FFF2-40B4-BE49-F238E27FC236}">
                  <a16:creationId xmlns:a16="http://schemas.microsoft.com/office/drawing/2014/main" id="{00000000-0008-0000-0200-00000D240000}"/>
                </a:ext>
              </a:extLst>
            </xdr:cNvPr>
            <xdr:cNvSpPr txBox="1"/>
          </xdr:nvSpPr>
          <xdr:spPr>
            <a:xfrm flipH="1">
              <a:off x="15709060" y="7148813"/>
              <a:ext cx="462274" cy="52246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2000">
                  <a:latin typeface="Nordique Inline" panose="020F0502020204030204" pitchFamily="34" charset="0"/>
                  <a:cs typeface="Nordique Inline" panose="020F0502020204030204" pitchFamily="34" charset="0"/>
                </a:rPr>
                <a:t>!</a:t>
              </a:r>
            </a:p>
          </xdr:txBody>
        </xdr:sp>
      </xdr:grpSp>
      <xdr:sp macro="" textlink="">
        <xdr:nvSpPr>
          <xdr:cNvPr id="9227" name="ZoneTexte 9226">
            <a:extLst>
              <a:ext uri="{FF2B5EF4-FFF2-40B4-BE49-F238E27FC236}">
                <a16:creationId xmlns:a16="http://schemas.microsoft.com/office/drawing/2014/main" id="{00000000-0008-0000-0200-00000B240000}"/>
              </a:ext>
            </a:extLst>
          </xdr:cNvPr>
          <xdr:cNvSpPr txBox="1"/>
        </xdr:nvSpPr>
        <xdr:spPr>
          <a:xfrm>
            <a:off x="4965700" y="64262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Classes</a:t>
            </a:r>
          </a:p>
        </xdr:txBody>
      </xdr:sp>
    </xdr:grpSp>
    <xdr:clientData/>
  </xdr:twoCellAnchor>
  <xdr:twoCellAnchor>
    <xdr:from>
      <xdr:col>0</xdr:col>
      <xdr:colOff>25400</xdr:colOff>
      <xdr:row>28</xdr:row>
      <xdr:rowOff>76200</xdr:rowOff>
    </xdr:from>
    <xdr:to>
      <xdr:col>6</xdr:col>
      <xdr:colOff>25400</xdr:colOff>
      <xdr:row>43</xdr:row>
      <xdr:rowOff>76200</xdr:rowOff>
    </xdr:to>
    <xdr:grpSp>
      <xdr:nvGrpSpPr>
        <xdr:cNvPr id="9237" name="Groupe 9236">
          <a:extLst>
            <a:ext uri="{FF2B5EF4-FFF2-40B4-BE49-F238E27FC236}">
              <a16:creationId xmlns:a16="http://schemas.microsoft.com/office/drawing/2014/main" id="{00000000-0008-0000-0200-000015240000}"/>
            </a:ext>
          </a:extLst>
        </xdr:cNvPr>
        <xdr:cNvGrpSpPr/>
      </xdr:nvGrpSpPr>
      <xdr:grpSpPr>
        <a:xfrm>
          <a:off x="25400" y="5119255"/>
          <a:ext cx="4904509" cy="2701636"/>
          <a:chOff x="38100" y="4648200"/>
          <a:chExt cx="4953000" cy="3048000"/>
        </a:xfrm>
      </xdr:grpSpPr>
      <xdr:grpSp>
        <xdr:nvGrpSpPr>
          <xdr:cNvPr id="9238" name="Groupe 9237">
            <a:extLst>
              <a:ext uri="{FF2B5EF4-FFF2-40B4-BE49-F238E27FC236}">
                <a16:creationId xmlns:a16="http://schemas.microsoft.com/office/drawing/2014/main" id="{00000000-0008-0000-0200-000016240000}"/>
              </a:ext>
            </a:extLst>
          </xdr:cNvPr>
          <xdr:cNvGrpSpPr/>
        </xdr:nvGrpSpPr>
        <xdr:grpSpPr>
          <a:xfrm>
            <a:off x="152400" y="4648200"/>
            <a:ext cx="4838700" cy="3048000"/>
            <a:chOff x="622301" y="215900"/>
            <a:chExt cx="5509666" cy="4927107"/>
          </a:xfrm>
        </xdr:grpSpPr>
        <xdr:grpSp>
          <xdr:nvGrpSpPr>
            <xdr:cNvPr id="9240" name="Groupe 9239">
              <a:extLs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GrpSpPr/>
          </xdr:nvGrpSpPr>
          <xdr:grpSpPr>
            <a:xfrm>
              <a:off x="622301" y="215900"/>
              <a:ext cx="5422900" cy="4114800"/>
              <a:chOff x="6311902" y="50800"/>
              <a:chExt cx="11125200" cy="4127501"/>
            </a:xfrm>
          </xdr:grpSpPr>
          <xdr:sp macro="" textlink="">
            <xdr:nvSpPr>
              <xdr:cNvPr id="9246" name="Rectangle 9245">
                <a:extLst>
                  <a:ext uri="{FF2B5EF4-FFF2-40B4-BE49-F238E27FC236}">
                    <a16:creationId xmlns:a16="http://schemas.microsoft.com/office/drawing/2014/main" id="{00000000-0008-0000-0200-00001E240000}"/>
                  </a:ext>
                </a:extLst>
              </xdr:cNvPr>
              <xdr:cNvSpPr/>
            </xdr:nvSpPr>
            <xdr:spPr>
              <a:xfrm>
                <a:off x="6311902" y="50800"/>
                <a:ext cx="11125200" cy="4127501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9247" name="Rectangle 9246">
                <a:extLst>
                  <a:ext uri="{FF2B5EF4-FFF2-40B4-BE49-F238E27FC236}">
                    <a16:creationId xmlns:a16="http://schemas.microsoft.com/office/drawing/2014/main" id="{00000000-0008-0000-0200-00001F240000}"/>
                  </a:ext>
                </a:extLst>
              </xdr:cNvPr>
              <xdr:cNvSpPr/>
            </xdr:nvSpPr>
            <xdr:spPr>
              <a:xfrm>
                <a:off x="6337953" y="63780"/>
                <a:ext cx="2732996" cy="4114521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3]Données!E21">
          <xdr:nvSpPr>
            <xdr:cNvPr id="9241" name="ZoneTexte 9240">
              <a:extLs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 txBox="1"/>
          </xdr:nvSpPr>
          <xdr:spPr>
            <a:xfrm>
              <a:off x="3555934" y="1717459"/>
              <a:ext cx="1485899" cy="1146762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78F7F86F-5136-004D-8C40-10C138F17DAD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Sucre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3]Données!E22">
          <xdr:nvSpPr>
            <xdr:cNvPr id="9242" name="ZoneTexte 9241">
              <a:extLs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 txBox="1"/>
          </xdr:nvSpPr>
          <xdr:spPr>
            <a:xfrm>
              <a:off x="2578100" y="2108200"/>
              <a:ext cx="881439" cy="9144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3CF594CD-A78F-014F-8F73-DCBB0E1E8A72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Sel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3]Données!E23">
          <xdr:nvSpPr>
            <xdr:cNvPr id="9243" name="ZoneTexte 9242">
              <a:extLs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 txBox="1"/>
          </xdr:nvSpPr>
          <xdr:spPr>
            <a:xfrm>
              <a:off x="4622799" y="1905000"/>
              <a:ext cx="1422401" cy="1554578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0120F50-526D-E445-B57B-EE88BD68721D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Matières grasses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pic>
          <xdr:nvPicPr>
            <xdr:cNvPr id="9244" name="Image 9243">
              <a:extLs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94661" y="1489908"/>
              <a:ext cx="3098800" cy="3653099"/>
            </a:xfrm>
            <a:prstGeom prst="rect">
              <a:avLst/>
            </a:prstGeom>
          </xdr:spPr>
        </xdr:pic>
        <xdr:sp macro="" textlink="">
          <xdr:nvSpPr>
            <xdr:cNvPr id="9245" name="ZoneTexte 9244">
              <a:extLs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 txBox="1"/>
          </xdr:nvSpPr>
          <xdr:spPr>
            <a:xfrm>
              <a:off x="1808108" y="262691"/>
              <a:ext cx="4323859" cy="132869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fr-FR" sz="150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Top 3</a:t>
              </a:r>
              <a:r>
                <a:rPr lang="fr-FR" sz="1500" baseline="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 des nutriments qui contribuent au score</a:t>
              </a:r>
              <a:endParaRPr lang="fr-FR" sz="1500">
                <a:solidFill>
                  <a:sysClr val="windowText" lastClr="000000"/>
                </a:solidFill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</xdr:grpSp>
      <xdr:sp macro="" textlink="">
        <xdr:nvSpPr>
          <xdr:cNvPr id="9239" name="ZoneTexte 9238">
            <a:extLst>
              <a:ext uri="{FF2B5EF4-FFF2-40B4-BE49-F238E27FC236}">
                <a16:creationId xmlns:a16="http://schemas.microsoft.com/office/drawing/2014/main" id="{00000000-0008-0000-0200-000017240000}"/>
              </a:ext>
            </a:extLst>
          </xdr:cNvPr>
          <xdr:cNvSpPr txBox="1"/>
        </xdr:nvSpPr>
        <xdr:spPr>
          <a:xfrm>
            <a:off x="38100" y="5638800"/>
            <a:ext cx="13843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Classement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6</xdr:row>
          <xdr:rowOff>22860</xdr:rowOff>
        </xdr:from>
        <xdr:to>
          <xdr:col>13</xdr:col>
          <xdr:colOff>556260</xdr:colOff>
          <xdr:row>8</xdr:row>
          <xdr:rowOff>167640</xdr:rowOff>
        </xdr:to>
        <xdr:sp macro="" textlink="">
          <xdr:nvSpPr>
            <xdr:cNvPr id="2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165100</xdr:colOff>
      <xdr:row>41</xdr:row>
      <xdr:rowOff>152400</xdr:rowOff>
    </xdr:from>
    <xdr:to>
      <xdr:col>5</xdr:col>
      <xdr:colOff>812800</xdr:colOff>
      <xdr:row>48</xdr:row>
      <xdr:rowOff>0</xdr:rowOff>
    </xdr:to>
    <xdr:grpSp>
      <xdr:nvGrpSpPr>
        <xdr:cNvPr id="9249" name="Groupe 9248">
          <a:extLst>
            <a:ext uri="{FF2B5EF4-FFF2-40B4-BE49-F238E27FC236}">
              <a16:creationId xmlns:a16="http://schemas.microsoft.com/office/drawing/2014/main" id="{00000000-0008-0000-0200-000021240000}"/>
            </a:ext>
          </a:extLst>
        </xdr:cNvPr>
        <xdr:cNvGrpSpPr/>
      </xdr:nvGrpSpPr>
      <xdr:grpSpPr>
        <a:xfrm>
          <a:off x="165100" y="7536873"/>
          <a:ext cx="4734791" cy="1108363"/>
          <a:chOff x="152400" y="7353300"/>
          <a:chExt cx="4775200" cy="1270000"/>
        </a:xfrm>
      </xdr:grpSpPr>
      <xdr:sp macro="" textlink="">
        <xdr:nvSpPr>
          <xdr:cNvPr id="9250" name="Rectangle 9249">
            <a:extLst>
              <a:ext uri="{FF2B5EF4-FFF2-40B4-BE49-F238E27FC236}">
                <a16:creationId xmlns:a16="http://schemas.microsoft.com/office/drawing/2014/main" id="{00000000-0008-0000-0200-000022240000}"/>
              </a:ext>
            </a:extLst>
          </xdr:cNvPr>
          <xdr:cNvSpPr/>
        </xdr:nvSpPr>
        <xdr:spPr>
          <a:xfrm>
            <a:off x="152400" y="7353300"/>
            <a:ext cx="4775200" cy="12700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9251" name="Groupe 9250">
            <a:extLst>
              <a:ext uri="{FF2B5EF4-FFF2-40B4-BE49-F238E27FC236}">
                <a16:creationId xmlns:a16="http://schemas.microsoft.com/office/drawing/2014/main" id="{00000000-0008-0000-0200-000023240000}"/>
              </a:ext>
            </a:extLst>
          </xdr:cNvPr>
          <xdr:cNvGrpSpPr/>
        </xdr:nvGrpSpPr>
        <xdr:grpSpPr>
          <a:xfrm>
            <a:off x="1219200" y="7505700"/>
            <a:ext cx="2540000" cy="981567"/>
            <a:chOff x="5981700" y="7073900"/>
            <a:chExt cx="3362580" cy="1260967"/>
          </a:xfrm>
        </xdr:grpSpPr>
        <xdr:sp macro="[0]!retour" textlink="">
          <xdr:nvSpPr>
            <xdr:cNvPr id="9252" name="Freeform 29">
              <a:extLs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>
            <a:xfrm>
              <a:off x="5981700" y="7073900"/>
              <a:ext cx="3362580" cy="1260967"/>
            </a:xfrm>
            <a:custGeom>
              <a:avLst/>
              <a:gdLst/>
              <a:ahLst/>
              <a:cxnLst/>
              <a:rect l="l" t="t" r="r" b="b"/>
              <a:pathLst>
                <a:path w="3362580" h="1260967">
                  <a:moveTo>
                    <a:pt x="0" y="0"/>
                  </a:moveTo>
                  <a:lnTo>
                    <a:pt x="3362580" y="0"/>
                  </a:lnTo>
                  <a:lnTo>
                    <a:pt x="3362580" y="1260967"/>
                  </a:lnTo>
                  <a:lnTo>
                    <a:pt x="0" y="126096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fr-FR"/>
            </a:p>
          </xdr:txBody>
        </xdr:sp>
        <xdr:sp macro="" textlink="">
          <xdr:nvSpPr>
            <xdr:cNvPr id="9253" name="TextBox 44">
              <a:extLs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 txBox="1"/>
          </xdr:nvSpPr>
          <xdr:spPr>
            <a:xfrm>
              <a:off x="6451599" y="7251795"/>
              <a:ext cx="2432149" cy="69422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4675"/>
                </a:lnSpc>
                <a:spcBef>
                  <a:spcPct val="0"/>
                </a:spcBef>
              </a:pPr>
              <a:r>
                <a:rPr lang="en-US" sz="2799" b="1">
                  <a:solidFill>
                    <a:srgbClr val="1F1347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MENU</a:t>
              </a:r>
            </a:p>
          </xdr:txBody>
        </xdr:sp>
      </xdr:grpSp>
    </xdr:grpSp>
    <xdr:clientData/>
  </xdr:twoCellAnchor>
  <xdr:twoCellAnchor>
    <xdr:from>
      <xdr:col>0</xdr:col>
      <xdr:colOff>88900</xdr:colOff>
      <xdr:row>0</xdr:row>
      <xdr:rowOff>38100</xdr:rowOff>
    </xdr:from>
    <xdr:to>
      <xdr:col>14</xdr:col>
      <xdr:colOff>279400</xdr:colOff>
      <xdr:row>4</xdr:row>
      <xdr:rowOff>76200</xdr:rowOff>
    </xdr:to>
    <xdr:sp macro="" textlink="">
      <xdr:nvSpPr>
        <xdr:cNvPr id="9254" name="ZoneTexte 9253">
          <a:extLst>
            <a:ext uri="{FF2B5EF4-FFF2-40B4-BE49-F238E27FC236}">
              <a16:creationId xmlns:a16="http://schemas.microsoft.com/office/drawing/2014/main" id="{00000000-0008-0000-0200-000026240000}"/>
            </a:ext>
          </a:extLst>
        </xdr:cNvPr>
        <xdr:cNvSpPr txBox="1"/>
      </xdr:nvSpPr>
      <xdr:spPr>
        <a:xfrm>
          <a:off x="88900" y="38100"/>
          <a:ext cx="11711940" cy="830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500" b="1" i="0" u="none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Vous êtes sur</a:t>
          </a:r>
          <a:r>
            <a:rPr lang="fr-FR" sz="2500" b="1" i="0" u="none" baseline="0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 le Dashboard pour les producteurs !</a:t>
          </a:r>
          <a:endParaRPr lang="fr-FR" sz="2500" b="1" i="0" u="none">
            <a:solidFill>
              <a:schemeClr val="dk1"/>
            </a:solidFill>
            <a:effectLst/>
            <a:latin typeface="ADLaM Display" panose="02010000000000000000" pitchFamily="2" charset="77"/>
            <a:ea typeface="ADLaM Display" panose="02010000000000000000" pitchFamily="2" charset="77"/>
            <a:cs typeface="ADLaM Display" panose="02010000000000000000" pitchFamily="2" charset="77"/>
          </a:endParaRPr>
        </a:p>
        <a:p>
          <a:endParaRPr lang="fr-FR" sz="1100"/>
        </a:p>
      </xdr:txBody>
    </xdr:sp>
    <xdr:clientData/>
  </xdr:twoCellAnchor>
  <xdr:twoCellAnchor editAs="oneCell">
    <xdr:from>
      <xdr:col>10</xdr:col>
      <xdr:colOff>435419</xdr:colOff>
      <xdr:row>31</xdr:row>
      <xdr:rowOff>64997</xdr:rowOff>
    </xdr:from>
    <xdr:to>
      <xdr:col>12</xdr:col>
      <xdr:colOff>394496</xdr:colOff>
      <xdr:row>44</xdr:row>
      <xdr:rowOff>1682</xdr:rowOff>
    </xdr:to>
    <xdr:pic>
      <xdr:nvPicPr>
        <xdr:cNvPr id="9255" name="Graphique 9254">
          <a:extLst>
            <a:ext uri="{FF2B5EF4-FFF2-40B4-BE49-F238E27FC236}">
              <a16:creationId xmlns:a16="http://schemas.microsoft.com/office/drawing/2014/main" id="{00000000-0008-0000-0200-000027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3839293" flipV="1">
          <a:off x="8310455" y="6561281"/>
          <a:ext cx="2314125" cy="1604997"/>
        </a:xfrm>
        <a:prstGeom prst="rect">
          <a:avLst/>
        </a:prstGeom>
      </xdr:spPr>
    </xdr:pic>
    <xdr:clientData/>
  </xdr:twoCellAnchor>
  <xdr:twoCellAnchor editAs="oneCell">
    <xdr:from>
      <xdr:col>7</xdr:col>
      <xdr:colOff>152894</xdr:colOff>
      <xdr:row>31</xdr:row>
      <xdr:rowOff>139257</xdr:rowOff>
    </xdr:from>
    <xdr:to>
      <xdr:col>8</xdr:col>
      <xdr:colOff>800497</xdr:colOff>
      <xdr:row>44</xdr:row>
      <xdr:rowOff>76597</xdr:rowOff>
    </xdr:to>
    <xdr:pic>
      <xdr:nvPicPr>
        <xdr:cNvPr id="9256" name="Graphique 9255">
          <a:extLst>
            <a:ext uri="{FF2B5EF4-FFF2-40B4-BE49-F238E27FC236}">
              <a16:creationId xmlns:a16="http://schemas.microsoft.com/office/drawing/2014/main" id="{00000000-0008-0000-0200-000028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8793481">
          <a:off x="5491506" y="6703085"/>
          <a:ext cx="2314780" cy="1470563"/>
        </a:xfrm>
        <a:prstGeom prst="rect">
          <a:avLst/>
        </a:prstGeom>
      </xdr:spPr>
    </xdr:pic>
    <xdr:clientData/>
  </xdr:twoCellAnchor>
  <xdr:twoCellAnchor editAs="oneCell">
    <xdr:from>
      <xdr:col>0</xdr:col>
      <xdr:colOff>106404</xdr:colOff>
      <xdr:row>35</xdr:row>
      <xdr:rowOff>46442</xdr:rowOff>
    </xdr:from>
    <xdr:to>
      <xdr:col>1</xdr:col>
      <xdr:colOff>431787</xdr:colOff>
      <xdr:row>41</xdr:row>
      <xdr:rowOff>74645</xdr:rowOff>
    </xdr:to>
    <xdr:pic>
      <xdr:nvPicPr>
        <xdr:cNvPr id="9257" name="Graphique 9256">
          <a:extLst>
            <a:ext uri="{FF2B5EF4-FFF2-40B4-BE49-F238E27FC236}">
              <a16:creationId xmlns:a16="http://schemas.microsoft.com/office/drawing/2014/main" id="{00000000-0008-0000-0200-000029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6404" y="6980642"/>
          <a:ext cx="1148343" cy="1125483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</cdr:x>
      <cdr:y>0.60249</cdr:y>
    </cdr:from>
    <cdr:to>
      <cdr:x>0.38542</cdr:x>
      <cdr:y>0.85542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0" y="2165399"/>
          <a:ext cx="3641756" cy="909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  <a:latin typeface="Nordique Inline" panose="020F0502020204030204" pitchFamily="34" charset="0"/>
              <a:cs typeface="Nordique Inline" panose="020F0502020204030204" pitchFamily="34" charset="0"/>
            </a:rPr>
            <a:t>Nutri-score : </a:t>
          </a:r>
        </a:p>
      </cdr:txBody>
    </cdr:sp>
  </cdr:relSizeAnchor>
  <cdr:relSizeAnchor xmlns:cdr="http://schemas.openxmlformats.org/drawingml/2006/chartDrawing">
    <cdr:from>
      <cdr:x>0.3854</cdr:x>
      <cdr:y>0.61272</cdr:y>
    </cdr:from>
    <cdr:to>
      <cdr:x>0.50222</cdr:x>
      <cdr:y>0.76683</cdr:y>
    </cdr:to>
    <cdr:sp macro="" textlink="Traitement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3641525" y="2202180"/>
          <a:ext cx="1103809" cy="5538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4DCC7E1-47D2-4F46-BB0B-1EF67D27CF40}" type="TxLink">
            <a:rPr lang="en-US" sz="2600" b="0" i="0" u="none" strike="noStrike">
              <a:solidFill>
                <a:srgbClr val="000000"/>
              </a:solidFill>
              <a:latin typeface="Nordique Inline" panose="00000500000000000000" pitchFamily="2" charset="0"/>
              <a:ea typeface="Calibri"/>
              <a:cs typeface="Calibri"/>
            </a:rPr>
            <a:pPr/>
            <a:t>C</a:t>
          </a:fld>
          <a:endParaRPr lang="fr-FR" sz="2600">
            <a:solidFill>
              <a:srgbClr val="002060"/>
            </a:solidFill>
            <a:latin typeface="Nordique Inline" panose="00000500000000000000" pitchFamily="2" charset="0"/>
            <a:cs typeface="Nordique Inline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0</xdr:row>
          <xdr:rowOff>99060</xdr:rowOff>
        </xdr:from>
        <xdr:to>
          <xdr:col>9</xdr:col>
          <xdr:colOff>480060</xdr:colOff>
          <xdr:row>2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472440</xdr:colOff>
          <xdr:row>0</xdr:row>
          <xdr:rowOff>53340</xdr:rowOff>
        </xdr:from>
        <xdr:to>
          <xdr:col>5</xdr:col>
          <xdr:colOff>160020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Dashboard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0</xdr:row>
          <xdr:rowOff>137160</xdr:rowOff>
        </xdr:from>
        <xdr:to>
          <xdr:col>8</xdr:col>
          <xdr:colOff>1264920</xdr:colOff>
          <xdr:row>3</xdr:row>
          <xdr:rowOff>91440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708660</xdr:colOff>
          <xdr:row>0</xdr:row>
          <xdr:rowOff>152400</xdr:rowOff>
        </xdr:from>
        <xdr:to>
          <xdr:col>5</xdr:col>
          <xdr:colOff>175260</xdr:colOff>
          <xdr:row>3</xdr:row>
          <xdr:rowOff>106680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Dashboard Consommateur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%20(1).xlsm" TargetMode="External"/><Relationship Id="rId1" Type="http://schemas.openxmlformats.org/officeDocument/2006/relationships/externalLinkPath" Target="/Users/33662/Downloads/dashboar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 Consommateur"/>
      <sheetName val="Dashboard Producteur"/>
      <sheetName val="Données"/>
    </sheetNames>
    <sheetDataSet>
      <sheetData sheetId="0"/>
      <sheetData sheetId="1"/>
      <sheetData sheetId="2"/>
      <sheetData sheetId="3">
        <row r="1">
          <cell r="B1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M13" sqref="M13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784860</xdr:colOff>
                    <xdr:row>7</xdr:row>
                    <xdr:rowOff>22860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1B8CD-CC4F-4B5F-8C12-5CC746120F4D}">
  <sheetPr codeName="Feuil6"/>
  <dimension ref="A29:A30"/>
  <sheetViews>
    <sheetView zoomScale="40" zoomScaleNormal="40" workbookViewId="0">
      <selection activeCell="T27" sqref="T27"/>
    </sheetView>
  </sheetViews>
  <sheetFormatPr baseColWidth="10" defaultColWidth="12" defaultRowHeight="14.4" x14ac:dyDescent="0.3"/>
  <cols>
    <col min="1" max="16384" width="12" style="3"/>
  </cols>
  <sheetData>
    <row r="29" s="3" customFormat="1" x14ac:dyDescent="0.3"/>
    <row r="30" s="3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Drop Down 3">
              <controlPr defaultSize="0" autoLine="0" autoPict="0">
                <anchor moveWithCells="1">
                  <from>
                    <xdr:col>8</xdr:col>
                    <xdr:colOff>251460</xdr:colOff>
                    <xdr:row>6</xdr:row>
                    <xdr:rowOff>22860</xdr:rowOff>
                  </from>
                  <to>
                    <xdr:col>13</xdr:col>
                    <xdr:colOff>556260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356-9BFD-4147-8F66-C4EE3CA9409D}">
  <sheetPr codeName="Feuil8"/>
  <dimension ref="A29:A30"/>
  <sheetViews>
    <sheetView topLeftCell="A7" zoomScale="55" zoomScaleNormal="55" workbookViewId="0">
      <selection activeCell="R32" sqref="R32"/>
    </sheetView>
  </sheetViews>
  <sheetFormatPr baseColWidth="10" defaultColWidth="12" defaultRowHeight="14.4" x14ac:dyDescent="0.3"/>
  <cols>
    <col min="1" max="16384" width="12" style="3"/>
  </cols>
  <sheetData>
    <row r="29" s="3" customFormat="1" x14ac:dyDescent="0.3"/>
    <row r="30" s="3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3" name="Drop Down 2">
              <controlPr defaultSize="0" autoLine="0" autoPict="0">
                <anchor moveWithCells="1">
                  <from>
                    <xdr:col>8</xdr:col>
                    <xdr:colOff>251460</xdr:colOff>
                    <xdr:row>6</xdr:row>
                    <xdr:rowOff>22860</xdr:rowOff>
                  </from>
                  <to>
                    <xdr:col>13</xdr:col>
                    <xdr:colOff>556260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5362-9A1B-41EB-B6A2-08D2C414AE47}">
  <sheetPr codeName="Feuil7"/>
  <dimension ref="A1:H25"/>
  <sheetViews>
    <sheetView workbookViewId="0">
      <selection activeCell="A14" sqref="A14"/>
    </sheetView>
  </sheetViews>
  <sheetFormatPr baseColWidth="10" defaultRowHeight="14.4" x14ac:dyDescent="0.3"/>
  <cols>
    <col min="1" max="1" width="15.33203125" style="2" customWidth="1"/>
    <col min="2" max="2" width="14.109375" style="2" customWidth="1"/>
    <col min="3" max="4" width="11.5546875" style="2"/>
    <col min="5" max="5" width="21.33203125" style="2" customWidth="1"/>
    <col min="6" max="6" width="18.5546875" style="2" customWidth="1"/>
    <col min="7" max="16384" width="11.5546875" style="2"/>
  </cols>
  <sheetData>
    <row r="1" spans="1:8" x14ac:dyDescent="0.3">
      <c r="A1" s="10" t="s">
        <v>11</v>
      </c>
      <c r="B1" s="10">
        <v>20</v>
      </c>
      <c r="D1" s="5" t="s">
        <v>12</v>
      </c>
    </row>
    <row r="2" spans="1:8" x14ac:dyDescent="0.3">
      <c r="A2" s="10" t="s">
        <v>13</v>
      </c>
      <c r="B2" s="10">
        <v>20</v>
      </c>
      <c r="D2" s="6" t="str">
        <f>INDEX(A13:E14,1,MATCH(MAX(A14:E14),A14:E14,0))</f>
        <v>C</v>
      </c>
    </row>
    <row r="3" spans="1:8" x14ac:dyDescent="0.3">
      <c r="A3" s="10" t="s">
        <v>14</v>
      </c>
      <c r="B3" s="10">
        <v>20</v>
      </c>
      <c r="D3" s="6">
        <f>MAX(A14:E14)</f>
        <v>0.49626724763979602</v>
      </c>
    </row>
    <row r="4" spans="1:8" x14ac:dyDescent="0.3">
      <c r="A4" s="10" t="s">
        <v>15</v>
      </c>
      <c r="B4" s="10">
        <v>20</v>
      </c>
    </row>
    <row r="5" spans="1:8" x14ac:dyDescent="0.3">
      <c r="A5" s="10" t="s">
        <v>16</v>
      </c>
      <c r="B5" s="10">
        <v>20</v>
      </c>
    </row>
    <row r="6" spans="1:8" x14ac:dyDescent="0.3">
      <c r="A6" s="10" t="s">
        <v>17</v>
      </c>
      <c r="B6" s="10">
        <v>100</v>
      </c>
    </row>
    <row r="7" spans="1:8" x14ac:dyDescent="0.3">
      <c r="B7" s="4"/>
    </row>
    <row r="8" spans="1:8" x14ac:dyDescent="0.3">
      <c r="A8" s="17" t="s">
        <v>18</v>
      </c>
      <c r="B8" s="17">
        <f>IF(D2="A",10,IF(D2="B",30,IF(D2="C",50,IF(D2="D",70,IF(D2="E",90)))))</f>
        <v>50</v>
      </c>
    </row>
    <row r="9" spans="1:8" ht="17.399999999999999" x14ac:dyDescent="0.35">
      <c r="A9" s="17" t="s">
        <v>19</v>
      </c>
      <c r="B9" s="17">
        <v>1.5</v>
      </c>
      <c r="F9" s="7"/>
    </row>
    <row r="10" spans="1:8" x14ac:dyDescent="0.3">
      <c r="A10" s="17" t="s">
        <v>20</v>
      </c>
      <c r="B10" s="17">
        <f>200-B8-B9</f>
        <v>148.5</v>
      </c>
    </row>
    <row r="13" spans="1:8" x14ac:dyDescent="0.3">
      <c r="A13" s="8" t="s">
        <v>16</v>
      </c>
      <c r="B13" s="8" t="s">
        <v>15</v>
      </c>
      <c r="C13" s="8" t="s">
        <v>14</v>
      </c>
      <c r="D13" s="8" t="s">
        <v>13</v>
      </c>
      <c r="E13" s="8" t="s">
        <v>11</v>
      </c>
    </row>
    <row r="14" spans="1:8" x14ac:dyDescent="0.3">
      <c r="A14" s="9">
        <v>0.18148148148148099</v>
      </c>
      <c r="B14" s="9">
        <v>0.29262164124909201</v>
      </c>
      <c r="C14" s="9">
        <v>0.49626724763979602</v>
      </c>
      <c r="D14" s="9">
        <v>1.48148148148148E-2</v>
      </c>
      <c r="E14" s="9">
        <v>1.48148148148148E-2</v>
      </c>
    </row>
    <row r="15" spans="1:8" ht="15" thickBot="1" x14ac:dyDescent="0.35"/>
    <row r="16" spans="1:8" x14ac:dyDescent="0.3">
      <c r="A16" s="22" t="s">
        <v>28</v>
      </c>
      <c r="B16" s="23"/>
      <c r="C16" s="23"/>
      <c r="D16" s="23"/>
      <c r="E16" s="23"/>
      <c r="F16" s="23"/>
      <c r="G16" s="23"/>
      <c r="H16" s="24"/>
    </row>
    <row r="17" spans="1:8" ht="15" thickBot="1" x14ac:dyDescent="0.35">
      <c r="A17" s="25" t="str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 xml:space="preserve"> C'est correct, mais il y a de meilleures options pour votre santé.</v>
      </c>
      <c r="B17" s="26"/>
      <c r="C17" s="26"/>
      <c r="D17" s="26"/>
      <c r="E17" s="26"/>
      <c r="F17" s="26"/>
      <c r="G17" s="26"/>
      <c r="H17" s="27"/>
    </row>
    <row r="18" spans="1:8" ht="15" thickBot="1" x14ac:dyDescent="0.35"/>
    <row r="19" spans="1:8" x14ac:dyDescent="0.3">
      <c r="A19" s="28" t="s">
        <v>29</v>
      </c>
      <c r="B19" s="29"/>
      <c r="C19" s="29"/>
      <c r="D19" s="29"/>
      <c r="E19" s="29"/>
      <c r="F19" s="29"/>
      <c r="G19" s="29"/>
      <c r="H19" s="30"/>
    </row>
    <row r="20" spans="1:8" ht="15" thickBot="1" x14ac:dyDescent="0.35">
      <c r="A20" s="25" t="str">
        <f>IF(D2="A","Avec votre produit noté A, vous répondez aux attentes croissantes des consommateurs pour des aliments sains et équilibrés.",IF(D2="B"," Votre produit offre une bonne qualité nutritionnelle. Cela plaira à vos clients.",IF(D2="C","Votre produit montre des aspects positifs tout en laissant place à des améliorations.",IF(D2="D"," Votre produit présente des aspects à repenser pour améliorer sa qualité nutritionnelle.",IF(D2="E","Il est crucial d'envisager des changements pour mieux répondre aux attentes des consommateurs")))))</f>
        <v>Votre produit montre des aspects positifs tout en laissant place à des améliorations.</v>
      </c>
      <c r="B20" s="26"/>
      <c r="C20" s="26"/>
      <c r="D20" s="26"/>
      <c r="E20" s="26"/>
      <c r="F20" s="26"/>
      <c r="G20" s="26"/>
      <c r="H20" s="27"/>
    </row>
    <row r="21" spans="1:8" ht="15" thickBot="1" x14ac:dyDescent="0.35"/>
    <row r="22" spans="1:8" x14ac:dyDescent="0.3">
      <c r="E22" s="11" t="s">
        <v>30</v>
      </c>
      <c r="F22" s="12" t="s">
        <v>31</v>
      </c>
    </row>
    <row r="23" spans="1:8" x14ac:dyDescent="0.3">
      <c r="E23" s="13" t="s">
        <v>1</v>
      </c>
      <c r="F23" s="14" t="s">
        <v>32</v>
      </c>
    </row>
    <row r="24" spans="1:8" x14ac:dyDescent="0.3">
      <c r="E24" s="13" t="s">
        <v>2</v>
      </c>
      <c r="F24" s="14"/>
    </row>
    <row r="25" spans="1:8" ht="15" thickBot="1" x14ac:dyDescent="0.35">
      <c r="E25" s="15" t="s">
        <v>4</v>
      </c>
      <c r="F25" s="16"/>
    </row>
  </sheetData>
  <mergeCells count="4">
    <mergeCell ref="A16:H16"/>
    <mergeCell ref="A17:H17"/>
    <mergeCell ref="A19:H19"/>
    <mergeCell ref="A20:H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T14"/>
  <sheetViews>
    <sheetView workbookViewId="0">
      <selection activeCell="A14" sqref="A14:XFD14"/>
    </sheetView>
  </sheetViews>
  <sheetFormatPr baseColWidth="10" defaultColWidth="11.5546875" defaultRowHeight="14.4" x14ac:dyDescent="0.3"/>
  <cols>
    <col min="1" max="1" width="15" style="2" bestFit="1" customWidth="1"/>
    <col min="2" max="2" width="8" style="2" bestFit="1" customWidth="1"/>
    <col min="3" max="3" width="15.77734375" style="2" bestFit="1" customWidth="1"/>
    <col min="4" max="4" width="21.77734375" style="2" bestFit="1" customWidth="1"/>
    <col min="5" max="5" width="26.6640625" style="2" bestFit="1" customWidth="1"/>
    <col min="6" max="6" width="11" style="2" bestFit="1" customWidth="1"/>
    <col min="7" max="7" width="6.109375" style="2" bestFit="1" customWidth="1"/>
    <col min="8" max="8" width="8.5546875" style="2" bestFit="1" customWidth="1"/>
    <col min="9" max="9" width="6.5546875" style="2" bestFit="1" customWidth="1"/>
    <col min="10" max="10" width="10.77734375" style="2" bestFit="1" customWidth="1"/>
    <col min="11" max="11" width="10.44140625" style="2" bestFit="1" customWidth="1"/>
    <col min="12" max="12" width="8.109375" style="2" bestFit="1" customWidth="1"/>
    <col min="13" max="13" width="7.88671875" style="2" bestFit="1" customWidth="1"/>
    <col min="14" max="14" width="4.21875" style="2" bestFit="1" customWidth="1"/>
    <col min="15" max="15" width="18.33203125" style="2" customWidth="1"/>
    <col min="16" max="16" width="5.5546875" style="18" customWidth="1"/>
    <col min="17" max="19" width="5.109375" style="18" customWidth="1"/>
    <col min="20" max="20" width="6.109375" style="18" customWidth="1"/>
    <col min="21" max="16384" width="11.5546875" style="2"/>
  </cols>
  <sheetData>
    <row r="2" spans="1:20" ht="15" thickBot="1" x14ac:dyDescent="0.35"/>
    <row r="3" spans="1:20" ht="15.6" thickTop="1" thickBot="1" x14ac:dyDescent="0.35">
      <c r="P3" s="31" t="s">
        <v>34</v>
      </c>
      <c r="Q3" s="31"/>
      <c r="R3" s="31"/>
      <c r="S3" s="31"/>
      <c r="T3" s="31"/>
    </row>
    <row r="4" spans="1:20" ht="15.6" thickTop="1" thickBot="1" x14ac:dyDescent="0.35">
      <c r="A4" s="21" t="s">
        <v>0</v>
      </c>
      <c r="B4" s="21" t="s">
        <v>3</v>
      </c>
      <c r="C4" s="21" t="s">
        <v>4</v>
      </c>
      <c r="D4" s="21" t="s">
        <v>5</v>
      </c>
      <c r="E4" s="21" t="s">
        <v>21</v>
      </c>
      <c r="F4" s="1" t="s">
        <v>6</v>
      </c>
      <c r="G4" s="1" t="s">
        <v>1</v>
      </c>
      <c r="H4" s="1" t="s">
        <v>25</v>
      </c>
      <c r="I4" s="1" t="s">
        <v>7</v>
      </c>
      <c r="J4" s="1" t="s">
        <v>24</v>
      </c>
      <c r="K4" s="1" t="s">
        <v>8</v>
      </c>
      <c r="L4" s="1" t="s">
        <v>23</v>
      </c>
      <c r="M4" s="1" t="s">
        <v>22</v>
      </c>
      <c r="N4" s="1" t="s">
        <v>9</v>
      </c>
      <c r="O4" s="1" t="s">
        <v>10</v>
      </c>
      <c r="P4" s="19" t="s">
        <v>11</v>
      </c>
      <c r="Q4" s="19" t="s">
        <v>13</v>
      </c>
      <c r="R4" s="19" t="s">
        <v>14</v>
      </c>
      <c r="S4" s="19" t="s">
        <v>15</v>
      </c>
      <c r="T4" s="19" t="s">
        <v>16</v>
      </c>
    </row>
    <row r="5" spans="1:20" ht="15" thickTop="1" x14ac:dyDescent="0.3">
      <c r="A5" s="2" t="s">
        <v>35</v>
      </c>
      <c r="B5" s="2">
        <v>1.5</v>
      </c>
      <c r="C5" s="2">
        <v>3</v>
      </c>
      <c r="D5" s="2">
        <v>5</v>
      </c>
      <c r="E5" s="2">
        <v>6</v>
      </c>
      <c r="F5" s="2">
        <v>5</v>
      </c>
      <c r="G5" s="2">
        <v>1</v>
      </c>
      <c r="H5" s="2">
        <v>56</v>
      </c>
      <c r="I5" s="2">
        <v>5</v>
      </c>
      <c r="J5" s="2">
        <v>42</v>
      </c>
      <c r="K5" s="2">
        <v>5</v>
      </c>
      <c r="L5" s="2">
        <v>2</v>
      </c>
      <c r="M5" s="2">
        <v>2</v>
      </c>
      <c r="N5" s="2">
        <v>6</v>
      </c>
      <c r="O5" s="20" t="s">
        <v>14</v>
      </c>
      <c r="P5" s="18">
        <v>1.48148148148148E-2</v>
      </c>
      <c r="Q5" s="18">
        <v>1.48148148148148E-2</v>
      </c>
      <c r="R5" s="18">
        <v>0.49626724763979602</v>
      </c>
      <c r="S5" s="18">
        <v>0.30373275236020297</v>
      </c>
      <c r="T5" s="18">
        <v>0.17037037037037001</v>
      </c>
    </row>
    <row r="6" spans="1:20" x14ac:dyDescent="0.3">
      <c r="A6" s="2" t="s">
        <v>36</v>
      </c>
      <c r="B6" s="2">
        <v>1.5</v>
      </c>
      <c r="C6" s="2">
        <v>3</v>
      </c>
      <c r="D6" s="2">
        <v>5</v>
      </c>
      <c r="E6" s="2">
        <v>6.44</v>
      </c>
      <c r="F6" s="2">
        <v>5.0439999999999996</v>
      </c>
      <c r="G6" s="2">
        <v>1</v>
      </c>
      <c r="H6" s="2">
        <v>56</v>
      </c>
      <c r="I6" s="2">
        <v>5.0549999999999997</v>
      </c>
      <c r="J6" s="2">
        <v>42</v>
      </c>
      <c r="K6" s="2">
        <v>4</v>
      </c>
      <c r="L6" s="2">
        <v>210</v>
      </c>
      <c r="M6" s="2">
        <v>2</v>
      </c>
      <c r="N6" s="2">
        <v>6</v>
      </c>
      <c r="O6" s="20" t="s">
        <v>14</v>
      </c>
      <c r="P6" s="18">
        <v>1.48148148148148E-2</v>
      </c>
      <c r="Q6" s="18">
        <v>1.48148148148148E-2</v>
      </c>
      <c r="R6" s="18">
        <v>0.49626724763979602</v>
      </c>
      <c r="S6" s="18">
        <v>0.30373275236020297</v>
      </c>
      <c r="T6" s="18">
        <v>0.17037037037037001</v>
      </c>
    </row>
    <row r="7" spans="1:20" x14ac:dyDescent="0.3">
      <c r="A7" s="2" t="s">
        <v>35</v>
      </c>
      <c r="B7" s="2">
        <v>1.5</v>
      </c>
      <c r="C7" s="2">
        <v>3</v>
      </c>
      <c r="D7" s="2">
        <v>5</v>
      </c>
      <c r="E7" s="2">
        <v>6</v>
      </c>
      <c r="F7" s="2">
        <v>5</v>
      </c>
      <c r="G7" s="2">
        <v>1</v>
      </c>
      <c r="H7" s="2">
        <v>56</v>
      </c>
      <c r="I7" s="2">
        <v>5</v>
      </c>
      <c r="J7" s="2">
        <v>42</v>
      </c>
      <c r="K7" s="2">
        <v>5</v>
      </c>
      <c r="L7" s="2">
        <v>2</v>
      </c>
      <c r="M7" s="2">
        <v>2</v>
      </c>
      <c r="N7" s="2">
        <v>6.5</v>
      </c>
      <c r="O7" s="20" t="s">
        <v>14</v>
      </c>
      <c r="P7" s="18">
        <v>1.48148148148148E-2</v>
      </c>
      <c r="Q7" s="18">
        <v>1.48148148148148E-2</v>
      </c>
      <c r="R7" s="18">
        <v>0.49626724763979602</v>
      </c>
      <c r="S7" s="18">
        <v>0.30373275236020297</v>
      </c>
      <c r="T7" s="18">
        <v>0.17037037037037001</v>
      </c>
    </row>
    <row r="8" spans="1:20" x14ac:dyDescent="0.3">
      <c r="A8" s="2" t="s">
        <v>38</v>
      </c>
      <c r="B8" s="2">
        <v>1.5</v>
      </c>
      <c r="C8" s="2">
        <v>53</v>
      </c>
      <c r="D8" s="2">
        <v>5</v>
      </c>
      <c r="E8" s="2">
        <v>6</v>
      </c>
      <c r="F8" s="2">
        <v>5</v>
      </c>
      <c r="G8" s="2">
        <v>1</v>
      </c>
      <c r="H8" s="2">
        <v>56</v>
      </c>
      <c r="I8" s="2">
        <v>5</v>
      </c>
      <c r="J8" s="2">
        <v>42</v>
      </c>
      <c r="K8" s="2">
        <v>5</v>
      </c>
      <c r="L8" s="2">
        <v>2</v>
      </c>
      <c r="M8" s="2">
        <v>2</v>
      </c>
      <c r="N8" s="2">
        <v>6</v>
      </c>
      <c r="O8" s="20" t="s">
        <v>16</v>
      </c>
      <c r="P8" s="18">
        <v>7.4074074074073999E-3</v>
      </c>
      <c r="Q8" s="18">
        <v>7.4074074074073999E-3</v>
      </c>
      <c r="R8" s="18">
        <v>0.34074074074074001</v>
      </c>
      <c r="S8" s="18">
        <v>0.28888888888888797</v>
      </c>
      <c r="T8" s="18">
        <v>0.35555555555555501</v>
      </c>
    </row>
    <row r="9" spans="1:20" x14ac:dyDescent="0.3">
      <c r="A9" s="2" t="s">
        <v>41</v>
      </c>
      <c r="B9" s="2">
        <v>5.9</v>
      </c>
      <c r="C9" s="2">
        <v>2</v>
      </c>
      <c r="D9" s="2">
        <v>5</v>
      </c>
      <c r="E9" s="2">
        <v>1</v>
      </c>
      <c r="F9" s="2">
        <v>23</v>
      </c>
      <c r="G9" s="2">
        <v>2</v>
      </c>
      <c r="H9" s="2">
        <v>61</v>
      </c>
      <c r="I9" s="2">
        <v>5</v>
      </c>
      <c r="J9" s="2">
        <v>28</v>
      </c>
      <c r="K9" s="2">
        <v>45</v>
      </c>
      <c r="L9" s="2">
        <v>8</v>
      </c>
      <c r="M9" s="2">
        <v>5</v>
      </c>
      <c r="N9" s="2">
        <v>2</v>
      </c>
      <c r="O9" s="20" t="s">
        <v>14</v>
      </c>
      <c r="P9" s="18">
        <v>1.48148148148148E-2</v>
      </c>
      <c r="Q9" s="18">
        <v>1.48148148148148E-2</v>
      </c>
      <c r="R9" s="18">
        <v>0.50367465504720399</v>
      </c>
      <c r="S9" s="18">
        <v>0.29262164124909201</v>
      </c>
      <c r="T9" s="18">
        <v>0.17407407407407399</v>
      </c>
    </row>
    <row r="10" spans="1:20" x14ac:dyDescent="0.3">
      <c r="A10" s="2" t="s">
        <v>42</v>
      </c>
      <c r="B10" s="2">
        <v>12.66</v>
      </c>
      <c r="C10" s="2">
        <v>22</v>
      </c>
      <c r="D10" s="2">
        <v>32</v>
      </c>
      <c r="E10" s="2">
        <v>1</v>
      </c>
      <c r="F10" s="2">
        <v>23</v>
      </c>
      <c r="G10" s="2">
        <v>2</v>
      </c>
      <c r="H10" s="2">
        <v>5</v>
      </c>
      <c r="I10" s="2">
        <v>2</v>
      </c>
      <c r="J10" s="2">
        <v>6</v>
      </c>
      <c r="K10" s="2">
        <v>5</v>
      </c>
      <c r="L10" s="2">
        <v>2</v>
      </c>
      <c r="M10" s="2">
        <v>8</v>
      </c>
      <c r="N10" s="2">
        <v>9</v>
      </c>
      <c r="O10" s="20" t="s">
        <v>16</v>
      </c>
      <c r="P10" s="18">
        <v>3.7037037037036999E-3</v>
      </c>
      <c r="Q10" s="18">
        <v>1.1111111111111099E-2</v>
      </c>
      <c r="R10" s="18">
        <v>0.155555555555555</v>
      </c>
      <c r="S10" s="18">
        <v>0.29259259259259202</v>
      </c>
      <c r="T10" s="18">
        <v>0.53703703703703698</v>
      </c>
    </row>
    <row r="11" spans="1:20" x14ac:dyDescent="0.3">
      <c r="A11" s="2" t="s">
        <v>43</v>
      </c>
      <c r="B11" s="2">
        <v>12.7</v>
      </c>
      <c r="C11" s="2">
        <v>22</v>
      </c>
      <c r="D11" s="2">
        <v>32</v>
      </c>
      <c r="E11" s="2">
        <v>1</v>
      </c>
      <c r="F11" s="2">
        <v>23</v>
      </c>
      <c r="G11" s="2">
        <v>2</v>
      </c>
      <c r="H11" s="2">
        <v>5</v>
      </c>
      <c r="I11" s="2">
        <v>2</v>
      </c>
      <c r="J11" s="2">
        <v>6</v>
      </c>
      <c r="K11" s="2">
        <v>5</v>
      </c>
      <c r="L11" s="2">
        <v>2</v>
      </c>
      <c r="M11" s="2">
        <v>8</v>
      </c>
      <c r="N11" s="2">
        <v>9</v>
      </c>
      <c r="O11" s="20" t="s">
        <v>16</v>
      </c>
      <c r="P11" s="18">
        <v>3.7037037037036999E-3</v>
      </c>
      <c r="Q11" s="18">
        <v>1.1111111111111099E-2</v>
      </c>
      <c r="R11" s="18">
        <v>0.155555555555555</v>
      </c>
      <c r="S11" s="18">
        <v>0.29259259259259202</v>
      </c>
      <c r="T11" s="18">
        <v>0.53703703703703698</v>
      </c>
    </row>
    <row r="12" spans="1:20" x14ac:dyDescent="0.3">
      <c r="A12" s="2" t="s">
        <v>42</v>
      </c>
      <c r="B12" s="2">
        <v>12.7</v>
      </c>
      <c r="C12" s="2">
        <v>22</v>
      </c>
      <c r="D12" s="2">
        <v>32</v>
      </c>
      <c r="E12" s="2">
        <v>1</v>
      </c>
      <c r="F12" s="2">
        <v>23</v>
      </c>
      <c r="G12" s="2">
        <v>2</v>
      </c>
      <c r="H12" s="2">
        <v>5</v>
      </c>
      <c r="I12" s="2">
        <v>2</v>
      </c>
      <c r="J12" s="2">
        <v>6</v>
      </c>
      <c r="K12" s="2">
        <v>5</v>
      </c>
      <c r="L12" s="2">
        <v>2</v>
      </c>
      <c r="M12" s="2">
        <v>8</v>
      </c>
      <c r="N12" s="2">
        <v>9</v>
      </c>
      <c r="O12" s="20" t="s">
        <v>16</v>
      </c>
      <c r="P12" s="18">
        <v>3.7037037037036999E-3</v>
      </c>
      <c r="Q12" s="18">
        <v>1.1111111111111099E-2</v>
      </c>
      <c r="R12" s="18">
        <v>0.155555555555555</v>
      </c>
      <c r="S12" s="18">
        <v>0.29259259259259202</v>
      </c>
      <c r="T12" s="18">
        <v>0.53703703703703698</v>
      </c>
    </row>
    <row r="13" spans="1:20" x14ac:dyDescent="0.3">
      <c r="A13" s="2" t="s">
        <v>42</v>
      </c>
      <c r="B13" s="2">
        <v>12.7</v>
      </c>
      <c r="C13" s="2">
        <v>22</v>
      </c>
      <c r="D13" s="2">
        <v>32</v>
      </c>
      <c r="E13" s="2">
        <v>1</v>
      </c>
      <c r="F13" s="2">
        <v>23</v>
      </c>
      <c r="G13" s="2">
        <v>2</v>
      </c>
      <c r="H13" s="2">
        <v>5</v>
      </c>
      <c r="I13" s="2">
        <v>2</v>
      </c>
      <c r="J13" s="2">
        <v>6</v>
      </c>
      <c r="K13" s="2">
        <v>5</v>
      </c>
      <c r="L13" s="2">
        <v>2</v>
      </c>
      <c r="M13" s="2">
        <v>8</v>
      </c>
      <c r="N13" s="2">
        <v>9</v>
      </c>
      <c r="O13" s="20" t="s">
        <v>16</v>
      </c>
      <c r="P13" s="18">
        <v>3.7037037037036999E-3</v>
      </c>
      <c r="Q13" s="18">
        <v>1.1111111111111099E-2</v>
      </c>
      <c r="R13" s="18">
        <v>0.155555555555555</v>
      </c>
      <c r="S13" s="18">
        <v>0.29259259259259202</v>
      </c>
      <c r="T13" s="18">
        <v>0.53703703703703698</v>
      </c>
    </row>
    <row r="14" spans="1:20" x14ac:dyDescent="0.3">
      <c r="A14" s="2" t="s">
        <v>45</v>
      </c>
      <c r="B14" s="2">
        <v>1.8</v>
      </c>
      <c r="C14" s="2">
        <v>2</v>
      </c>
      <c r="D14" s="2">
        <v>5</v>
      </c>
      <c r="E14" s="2">
        <v>1</v>
      </c>
      <c r="F14" s="2">
        <v>25</v>
      </c>
      <c r="G14" s="2">
        <v>3</v>
      </c>
      <c r="H14" s="2">
        <v>59</v>
      </c>
      <c r="I14" s="2">
        <v>2586</v>
      </c>
      <c r="J14" s="2">
        <v>2</v>
      </c>
      <c r="K14" s="2">
        <v>5</v>
      </c>
      <c r="L14" s="2">
        <v>9</v>
      </c>
      <c r="M14" s="2">
        <v>8</v>
      </c>
      <c r="N14" s="2">
        <v>5</v>
      </c>
      <c r="O14" s="20" t="s">
        <v>14</v>
      </c>
      <c r="P14" s="18">
        <v>1.48148148148148E-2</v>
      </c>
      <c r="Q14" s="18">
        <v>1.48148148148148E-2</v>
      </c>
      <c r="R14" s="18">
        <v>0.49626724763979602</v>
      </c>
      <c r="S14" s="18">
        <v>0.29262164124909201</v>
      </c>
      <c r="T14" s="18">
        <v>0.18148148148148099</v>
      </c>
    </row>
  </sheetData>
  <mergeCells count="1">
    <mergeCell ref="P3:T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6</xdr:col>
                    <xdr:colOff>152400</xdr:colOff>
                    <xdr:row>0</xdr:row>
                    <xdr:rowOff>99060</xdr:rowOff>
                  </from>
                  <to>
                    <xdr:col>9</xdr:col>
                    <xdr:colOff>480060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tour_dashboard_producteur">
                <anchor moveWithCells="1">
                  <from>
                    <xdr:col>2</xdr:col>
                    <xdr:colOff>472440</xdr:colOff>
                    <xdr:row>0</xdr:row>
                    <xdr:rowOff>53340</xdr:rowOff>
                  </from>
                  <to>
                    <xdr:col>5</xdr:col>
                    <xdr:colOff>160020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3:N14"/>
  <sheetViews>
    <sheetView zoomScaleNormal="100" workbookViewId="0">
      <selection activeCell="A6" sqref="A6"/>
    </sheetView>
  </sheetViews>
  <sheetFormatPr baseColWidth="10" defaultColWidth="11.5546875" defaultRowHeight="14.4" x14ac:dyDescent="0.3"/>
  <cols>
    <col min="1" max="1" width="15.109375" style="2" customWidth="1"/>
    <col min="2" max="2" width="11.5546875" style="2"/>
    <col min="3" max="3" width="19.33203125" style="2" customWidth="1"/>
    <col min="4" max="4" width="25" style="2" customWidth="1"/>
    <col min="5" max="8" width="11.5546875" style="2"/>
    <col min="9" max="9" width="19.33203125" style="2" customWidth="1"/>
    <col min="10" max="10" width="8.33203125" style="18" customWidth="1"/>
    <col min="11" max="11" width="7.77734375" style="18" customWidth="1"/>
    <col min="12" max="12" width="8.5546875" style="18" customWidth="1"/>
    <col min="13" max="14" width="8" style="18" customWidth="1"/>
    <col min="15" max="16384" width="11.5546875" style="2"/>
  </cols>
  <sheetData>
    <row r="3" spans="1:14" ht="15" thickBot="1" x14ac:dyDescent="0.35"/>
    <row r="4" spans="1:14" ht="15.6" thickTop="1" thickBot="1" x14ac:dyDescent="0.35">
      <c r="J4" s="31" t="s">
        <v>34</v>
      </c>
      <c r="K4" s="31"/>
      <c r="L4" s="31"/>
      <c r="M4" s="31"/>
      <c r="N4" s="31"/>
    </row>
    <row r="5" spans="1:14" ht="15.6" thickTop="1" thickBot="1" x14ac:dyDescent="0.35">
      <c r="A5" s="21" t="s">
        <v>0</v>
      </c>
      <c r="B5" s="21" t="s">
        <v>3</v>
      </c>
      <c r="C5" s="21" t="s">
        <v>4</v>
      </c>
      <c r="D5" s="21" t="s">
        <v>5</v>
      </c>
      <c r="E5" s="21" t="s">
        <v>1</v>
      </c>
      <c r="F5" s="21" t="s">
        <v>25</v>
      </c>
      <c r="G5" s="1" t="s">
        <v>2</v>
      </c>
      <c r="H5" s="1" t="s">
        <v>26</v>
      </c>
      <c r="I5" s="1" t="s">
        <v>10</v>
      </c>
      <c r="J5" s="19" t="s">
        <v>11</v>
      </c>
      <c r="K5" s="19" t="s">
        <v>13</v>
      </c>
      <c r="L5" s="19" t="s">
        <v>14</v>
      </c>
      <c r="M5" s="19" t="s">
        <v>15</v>
      </c>
      <c r="N5" s="19" t="s">
        <v>16</v>
      </c>
    </row>
    <row r="6" spans="1:14" ht="15" thickTop="1" x14ac:dyDescent="0.3">
      <c r="A6" s="2" t="s">
        <v>27</v>
      </c>
      <c r="B6" s="2">
        <v>270</v>
      </c>
      <c r="C6" s="2">
        <v>2.6</v>
      </c>
      <c r="D6" s="2">
        <v>0.8</v>
      </c>
      <c r="E6" s="2">
        <v>0.7</v>
      </c>
      <c r="F6" s="2">
        <v>49</v>
      </c>
      <c r="G6" s="2">
        <v>0.1</v>
      </c>
      <c r="H6" s="2">
        <v>11</v>
      </c>
      <c r="I6" s="20" t="s">
        <v>11</v>
      </c>
      <c r="J6" s="18">
        <v>0.69060794027060801</v>
      </c>
      <c r="K6" s="18">
        <v>0.276058726396058</v>
      </c>
      <c r="L6" s="18">
        <v>1.6666666666666601E-2</v>
      </c>
      <c r="M6" s="18">
        <v>0</v>
      </c>
      <c r="N6" s="18">
        <v>1.6666666666666601E-2</v>
      </c>
    </row>
    <row r="7" spans="1:14" x14ac:dyDescent="0.3">
      <c r="A7" s="2" t="s">
        <v>27</v>
      </c>
      <c r="B7" s="2">
        <v>270</v>
      </c>
      <c r="C7" s="2">
        <v>2.6</v>
      </c>
      <c r="D7" s="2">
        <v>0.8</v>
      </c>
      <c r="E7" s="2">
        <v>0.7</v>
      </c>
      <c r="F7" s="2">
        <v>49</v>
      </c>
      <c r="G7" s="2">
        <v>0.1</v>
      </c>
      <c r="H7" s="2">
        <v>11</v>
      </c>
      <c r="I7" s="20" t="s">
        <v>11</v>
      </c>
      <c r="J7" s="18">
        <v>0.69060794027060801</v>
      </c>
      <c r="K7" s="18">
        <v>0.276058726396058</v>
      </c>
      <c r="L7" s="18">
        <v>1.6666666666666601E-2</v>
      </c>
      <c r="M7" s="18">
        <v>0</v>
      </c>
      <c r="N7" s="18">
        <v>1.6666666666666601E-2</v>
      </c>
    </row>
    <row r="8" spans="1:14" x14ac:dyDescent="0.3">
      <c r="A8" s="2" t="s">
        <v>37</v>
      </c>
      <c r="B8" s="2">
        <v>1.5</v>
      </c>
      <c r="C8" s="2">
        <v>2</v>
      </c>
      <c r="D8" s="2">
        <v>3</v>
      </c>
      <c r="E8" s="2">
        <v>5</v>
      </c>
      <c r="F8" s="2">
        <v>4</v>
      </c>
      <c r="G8" s="2">
        <v>9</v>
      </c>
      <c r="H8" s="2">
        <v>8</v>
      </c>
      <c r="I8" s="20" t="s">
        <v>15</v>
      </c>
      <c r="J8" s="18">
        <v>0.1</v>
      </c>
      <c r="K8" s="18">
        <v>0.2</v>
      </c>
      <c r="L8" s="18">
        <v>0.32500000000000001</v>
      </c>
      <c r="M8" s="18">
        <v>0.375</v>
      </c>
      <c r="N8" s="18">
        <v>0</v>
      </c>
    </row>
    <row r="9" spans="1:14" x14ac:dyDescent="0.3">
      <c r="A9" s="2" t="s">
        <v>33</v>
      </c>
      <c r="B9" s="2">
        <v>1.5</v>
      </c>
      <c r="C9" s="2">
        <v>6</v>
      </c>
      <c r="D9" s="2">
        <v>65</v>
      </c>
      <c r="E9" s="2">
        <v>2</v>
      </c>
      <c r="F9" s="2">
        <v>5</v>
      </c>
      <c r="G9" s="2">
        <v>4</v>
      </c>
      <c r="H9" s="2">
        <v>9</v>
      </c>
      <c r="I9" s="20" t="s">
        <v>15</v>
      </c>
      <c r="J9" s="18">
        <v>2.5000000000000001E-2</v>
      </c>
      <c r="K9" s="18">
        <v>0.116666666666666</v>
      </c>
      <c r="L9" s="18">
        <v>0.241666666666666</v>
      </c>
      <c r="M9" s="18">
        <v>0.45</v>
      </c>
      <c r="N9" s="18">
        <v>0.16666666666666599</v>
      </c>
    </row>
    <row r="10" spans="1:14" x14ac:dyDescent="0.3">
      <c r="A10" s="2" t="s">
        <v>39</v>
      </c>
      <c r="B10" s="2">
        <v>369</v>
      </c>
      <c r="C10" s="2">
        <v>29</v>
      </c>
      <c r="D10" s="2">
        <v>21</v>
      </c>
      <c r="E10" s="2">
        <v>0.5</v>
      </c>
      <c r="F10" s="2">
        <v>0.5</v>
      </c>
      <c r="G10" s="2">
        <v>0.83</v>
      </c>
      <c r="H10" s="2">
        <v>27</v>
      </c>
      <c r="I10" s="20" t="s">
        <v>15</v>
      </c>
      <c r="J10" s="18">
        <v>1.6666666666666601E-2</v>
      </c>
      <c r="K10" s="18">
        <v>7.4999999999999997E-2</v>
      </c>
      <c r="L10" s="18">
        <v>0.266666666666666</v>
      </c>
      <c r="M10" s="18">
        <v>0.59722222222222199</v>
      </c>
      <c r="N10" s="18">
        <v>4.4444444444444398E-2</v>
      </c>
    </row>
    <row r="11" spans="1:14" x14ac:dyDescent="0.3">
      <c r="A11" s="2" t="s">
        <v>40</v>
      </c>
      <c r="B11" s="2">
        <v>467</v>
      </c>
      <c r="C11" s="2">
        <v>17</v>
      </c>
      <c r="D11" s="2">
        <v>5.6</v>
      </c>
      <c r="E11" s="2">
        <v>32</v>
      </c>
      <c r="F11" s="2">
        <v>69</v>
      </c>
      <c r="G11" s="2">
        <v>0.49</v>
      </c>
      <c r="H11" s="2">
        <v>6.3</v>
      </c>
      <c r="I11" s="20" t="s">
        <v>15</v>
      </c>
      <c r="J11" s="18">
        <v>8.3333333333333297E-3</v>
      </c>
      <c r="K11" s="18">
        <v>1.6666666666666601E-2</v>
      </c>
      <c r="L11" s="18">
        <v>0.21666666666666601</v>
      </c>
      <c r="M11" s="18">
        <v>0.65</v>
      </c>
      <c r="N11" s="18">
        <v>0.108333333333333</v>
      </c>
    </row>
    <row r="12" spans="1:14" x14ac:dyDescent="0.3">
      <c r="A12" s="2" t="s">
        <v>27</v>
      </c>
      <c r="B12" s="2">
        <v>270</v>
      </c>
      <c r="C12" s="2">
        <v>2.6</v>
      </c>
      <c r="D12" s="2">
        <v>0.8</v>
      </c>
      <c r="E12" s="2">
        <v>0.7</v>
      </c>
      <c r="F12" s="2">
        <v>49</v>
      </c>
      <c r="G12" s="2">
        <v>0.1</v>
      </c>
      <c r="H12" s="2">
        <v>11</v>
      </c>
      <c r="I12" s="20" t="s">
        <v>11</v>
      </c>
      <c r="J12" s="18">
        <v>0.69060794027060801</v>
      </c>
      <c r="K12" s="18">
        <v>0.276058726396058</v>
      </c>
      <c r="L12" s="18">
        <v>1.6666666666666601E-2</v>
      </c>
      <c r="M12" s="18">
        <v>0</v>
      </c>
      <c r="N12" s="18">
        <v>1.6666666666666601E-2</v>
      </c>
    </row>
    <row r="13" spans="1:14" x14ac:dyDescent="0.3">
      <c r="A13" s="2" t="s">
        <v>27</v>
      </c>
      <c r="B13" s="2">
        <v>270</v>
      </c>
      <c r="C13" s="2">
        <v>2.6</v>
      </c>
      <c r="D13" s="2">
        <v>0.8</v>
      </c>
      <c r="E13" s="2">
        <v>0.7</v>
      </c>
      <c r="F13" s="2">
        <v>49</v>
      </c>
      <c r="G13" s="2">
        <v>0.1</v>
      </c>
      <c r="H13" s="2">
        <v>11</v>
      </c>
      <c r="I13" s="20" t="s">
        <v>11</v>
      </c>
      <c r="J13" s="18">
        <v>0.69060794027060801</v>
      </c>
      <c r="K13" s="18">
        <v>0.276058726396058</v>
      </c>
      <c r="L13" s="18">
        <v>1.6666666666666601E-2</v>
      </c>
      <c r="M13" s="18">
        <v>0</v>
      </c>
      <c r="N13" s="18">
        <v>1.6666666666666601E-2</v>
      </c>
    </row>
    <row r="14" spans="1:14" x14ac:dyDescent="0.3">
      <c r="A14" s="2" t="s">
        <v>44</v>
      </c>
      <c r="B14" s="2">
        <v>1.4</v>
      </c>
      <c r="C14" s="2">
        <v>5</v>
      </c>
      <c r="D14" s="2">
        <v>6</v>
      </c>
      <c r="E14" s="2">
        <v>5</v>
      </c>
      <c r="F14" s="2">
        <v>8</v>
      </c>
      <c r="G14" s="2">
        <v>6.8</v>
      </c>
      <c r="H14" s="2">
        <v>5.4</v>
      </c>
      <c r="I14" s="20" t="s">
        <v>14</v>
      </c>
      <c r="J14" s="18">
        <v>5.83333333333333E-2</v>
      </c>
      <c r="K14" s="18">
        <v>0.116666666666666</v>
      </c>
      <c r="L14" s="18">
        <v>0.483333333333333</v>
      </c>
      <c r="M14" s="18">
        <v>0.31666666666666599</v>
      </c>
      <c r="N14" s="18">
        <v>2.5000000000000001E-2</v>
      </c>
    </row>
  </sheetData>
  <mergeCells count="1">
    <mergeCell ref="J4:N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5</xdr:col>
                    <xdr:colOff>297180</xdr:colOff>
                    <xdr:row>0</xdr:row>
                    <xdr:rowOff>137160</xdr:rowOff>
                  </from>
                  <to>
                    <xdr:col>8</xdr:col>
                    <xdr:colOff>1264920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etour_dashboard_consommateur">
                <anchor moveWithCells="1">
                  <from>
                    <xdr:col>1</xdr:col>
                    <xdr:colOff>708660</xdr:colOff>
                    <xdr:row>0</xdr:row>
                    <xdr:rowOff>152400</xdr:rowOff>
                  </from>
                  <to>
                    <xdr:col>5</xdr:col>
                    <xdr:colOff>175260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dashboard_consommateur</vt:lpstr>
      <vt:lpstr>dashboard_producteur</vt:lpstr>
      <vt:lpstr>Traitement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2023-11-22T15:53:07Z</dcterms:modified>
</cp:coreProperties>
</file>