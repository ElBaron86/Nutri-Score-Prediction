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trlProps/ctrlProp5.xml" ContentType="application/vnd.ms-excel.controlproperties+xml"/>
  <Override PartName="/xl/drawings/drawing8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33662\Desktop\Projet_digital\src\interfaces\"/>
    </mc:Choice>
  </mc:AlternateContent>
  <xr:revisionPtr revIDLastSave="0" documentId="13_ncr:1_{ADBBF75B-7D50-43E6-9127-F10F6C4DB7AF}" xr6:coauthVersionLast="47" xr6:coauthVersionMax="47" xr10:uidLastSave="{00000000-0000-0000-0000-000000000000}"/>
  <bookViews>
    <workbookView xWindow="-108" yWindow="-108" windowWidth="23256" windowHeight="12456" tabRatio="776" activeTab="1" xr2:uid="{00000000-000D-0000-FFFF-FFFF00000000}"/>
  </bookViews>
  <sheets>
    <sheet name="Accueil" sheetId="2" r:id="rId1"/>
    <sheet name="dashboard_consommateur" sheetId="6" r:id="rId2"/>
    <sheet name="dashboard_producteur" sheetId="8" r:id="rId3"/>
    <sheet name="Traitement" sheetId="7" r:id="rId4"/>
    <sheet name="Historique_producteur" sheetId="1" r:id="rId5"/>
    <sheet name="Historique_consommateur" sheetId="5" r:id="rId6"/>
  </sheets>
  <functionGroups builtInGroupCount="19"/>
  <externalReferences>
    <externalReference r:id="rId7"/>
    <externalReference r:id="rId8"/>
    <externalReference r:id="rId9"/>
    <externalReference r:id="rId10"/>
    <externalReference r:id="rId11"/>
    <externalReference r:id="rId12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7" l="1"/>
  <c r="D3" i="7" l="1"/>
  <c r="D2" i="7"/>
  <c r="A19" i="7" s="1"/>
  <c r="A17" i="7" l="1"/>
  <c r="B10" i="7"/>
</calcChain>
</file>

<file path=xl/sharedStrings.xml><?xml version="1.0" encoding="utf-8"?>
<sst xmlns="http://schemas.openxmlformats.org/spreadsheetml/2006/main" count="71" uniqueCount="43">
  <si>
    <t>Nom du produit</t>
  </si>
  <si>
    <t>Sucre</t>
  </si>
  <si>
    <t>Sel</t>
  </si>
  <si>
    <t>Energie</t>
  </si>
  <si>
    <t>Matières grasses</t>
  </si>
  <si>
    <t>Matières grasses saturé</t>
  </si>
  <si>
    <t>Cholestérol</t>
  </si>
  <si>
    <t>Fibres</t>
  </si>
  <si>
    <t>Vitamine c</t>
  </si>
  <si>
    <t>Fer</t>
  </si>
  <si>
    <t>Résultat Nutri-score</t>
  </si>
  <si>
    <t>A</t>
  </si>
  <si>
    <t>Résultat</t>
  </si>
  <si>
    <t>B</t>
  </si>
  <si>
    <t>C</t>
  </si>
  <si>
    <t>D</t>
  </si>
  <si>
    <t>E</t>
  </si>
  <si>
    <t>Vide</t>
  </si>
  <si>
    <t>Indicateur</t>
  </si>
  <si>
    <t>Curseur</t>
  </si>
  <si>
    <t>Reste</t>
  </si>
  <si>
    <t>Matières grasses saturé trans</t>
  </si>
  <si>
    <t>Sodium</t>
  </si>
  <si>
    <t>Calcium</t>
  </si>
  <si>
    <t>Vitamine a</t>
  </si>
  <si>
    <t>Glucides</t>
  </si>
  <si>
    <t>test conso</t>
  </si>
  <si>
    <t>1,1</t>
  </si>
  <si>
    <t xml:space="preserve">Protéines </t>
  </si>
  <si>
    <t>test 2</t>
  </si>
  <si>
    <t>test prod</t>
  </si>
  <si>
    <t xml:space="preserve">test valeur </t>
  </si>
  <si>
    <t/>
  </si>
  <si>
    <t>pate truffe</t>
  </si>
  <si>
    <t>Commentaire selon le résultat : (consommateur)</t>
  </si>
  <si>
    <t>Commentaire selon le résultat : (producteur)</t>
  </si>
  <si>
    <t>Top 3 (consommateur)</t>
  </si>
  <si>
    <t>Top 3 (producteur)</t>
  </si>
  <si>
    <t>Acide gras trans</t>
  </si>
  <si>
    <t>test V4</t>
  </si>
  <si>
    <t>go</t>
  </si>
  <si>
    <t>hhh</t>
  </si>
  <si>
    <t>testec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</si>
</sst>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.0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4"/>
      <color rgb="FF0000FF"/>
      <name val="Calibri"/>
      <family val="2"/>
    </font>
    <font>
      <b/>
      <sz val="20"/>
      <color rgb="FF000000"/>
      <name val="Calibri"/>
      <family val="2"/>
    </font>
    <font>
      <sz val="11"/>
      <color theme="1"/>
      <name val="Calibri"/>
      <family val="2"/>
      <scheme val="minor"/>
    </font>
    <font>
      <sz val="13"/>
      <color rgb="FF4F595F"/>
      <name val="Courier New"/>
      <family val="1"/>
    </font>
  </fonts>
  <fills count="8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40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30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0" xfId="0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/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3" borderId="5" xfId="0" applyFill="1" applyBorder="1" applyAlignment="1">
      <alignment horizontal="center"/>
    </xf>
    <xf numFmtId="9" fontId="0" fillId="3" borderId="5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4" borderId="5" xfId="0" applyFill="1" applyBorder="1" applyAlignment="1">
      <alignment horizontal="center"/>
    </xf>
    <xf numFmtId="9" fontId="0" fillId="0" borderId="5" xfId="1" applyFont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859-4911-B8F9-5EDE24D6F292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859-4911-B8F9-5EDE24D6F292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859-4911-B8F9-5EDE24D6F292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859-4911-B8F9-5EDE24D6F292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859-4911-B8F9-5EDE24D6F292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859-4911-B8F9-5EDE24D6F292}"/>
              </c:ext>
            </c:extLst>
          </c:dPt>
          <c:val>
            <c:numRef>
              <c:f>[1]Feuil1!$B$1:$B$6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7859-4911-B8F9-5EDE24D6F292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7859-4911-B8F9-5EDE24D6F29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7859-4911-B8F9-5EDE24D6F292}"/>
              </c:ext>
            </c:extLst>
          </c:dPt>
          <c:val>
            <c:numRef>
              <c:f>[2]Lien_Réponse_Diagramme!$B$8:$B$10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7859-4911-B8F9-5EDE24D6F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25-4503-A11B-16230470B607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25-4503-A11B-16230470B607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25-4503-A11B-16230470B607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25-4503-A11B-16230470B607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A25-4503-A11B-16230470B607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A25-4503-A11B-16230470B607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4A25-4503-A11B-16230470B607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4A25-4503-A11B-16230470B607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4A25-4503-A11B-16230470B607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A25-4503-A11B-16230470B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210-41BD-8CEA-97B8C6C92A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210-41BD-8CEA-97B8C6C92A79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210-41BD-8CEA-97B8C6C92A79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210-41BD-8CEA-97B8C6C92A79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210-41BD-8CEA-97B8C6C92A79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210-41BD-8CEA-97B8C6C92A79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210-41BD-8CEA-97B8C6C92A7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0.246590909090909</c:v>
                </c:pt>
                <c:pt idx="3">
                  <c:v>0.59867424242424205</c:v>
                </c:pt>
                <c:pt idx="4">
                  <c:v>0.154734848484848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210-41BD-8CEA-97B8C6C92A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217574212341695"/>
          <c:y val="7.0671378091872794E-2"/>
          <c:w val="0.3534946610675071"/>
          <c:h val="0.92932862190812726"/>
        </c:manualLayout>
      </c:layout>
      <c:doughnutChart>
        <c:varyColors val="1"/>
        <c:ser>
          <c:idx val="0"/>
          <c:order val="0"/>
          <c:tx>
            <c:v>Tranche</c:v>
          </c:tx>
          <c:dPt>
            <c:idx val="0"/>
            <c:bubble3D val="0"/>
            <c:spPr>
              <a:solidFill>
                <a:srgbClr val="00B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AE5-4D41-91F7-DA25C9BE7DE9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AE5-4D41-91F7-DA25C9BE7DE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AE5-4D41-91F7-DA25C9BE7DE9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AE5-4D41-91F7-DA25C9BE7DE9}"/>
              </c:ext>
            </c:extLst>
          </c:dPt>
          <c:dPt>
            <c:idx val="4"/>
            <c:bubble3D val="0"/>
            <c:spPr>
              <a:solidFill>
                <a:srgbClr val="FF0000"/>
              </a:solidFill>
              <a:ln w="19050" cap="sq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AE5-4D41-91F7-DA25C9BE7DE9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AE5-4D41-91F7-DA25C9BE7DE9}"/>
              </c:ext>
            </c:extLst>
          </c:dPt>
          <c:val>
            <c:numRef>
              <c:f>Traitement!$B$1:$B$6</c:f>
              <c:numCache>
                <c:formatCode>General</c:formatCode>
                <c:ptCount val="6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0"/>
      </c:doughnutChart>
      <c:pieChart>
        <c:varyColors val="1"/>
        <c:ser>
          <c:idx val="1"/>
          <c:order val="1"/>
          <c:tx>
            <c:v>Indicateur</c:v>
          </c:tx>
          <c:spPr>
            <a:noFill/>
            <a:ln>
              <a:noFill/>
            </a:ln>
          </c:spPr>
          <c:explosion val="23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1AE5-4D41-91F7-DA25C9BE7DE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2540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1AE5-4D41-91F7-DA25C9BE7DE9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AE5-4D41-91F7-DA25C9BE7DE9}"/>
              </c:ext>
            </c:extLst>
          </c:dPt>
          <c:val>
            <c:numRef>
              <c:f>Traitement!$B$8:$B$10</c:f>
              <c:numCache>
                <c:formatCode>General</c:formatCode>
                <c:ptCount val="3"/>
                <c:pt idx="0">
                  <c:v>30</c:v>
                </c:pt>
                <c:pt idx="1">
                  <c:v>1.5</c:v>
                </c:pt>
                <c:pt idx="2">
                  <c:v>168.5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AE5-4D41-91F7-DA25C9BE7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chemeClr val="tx1"/>
              </a:solidFill>
            </a:ln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C24-43B7-AFC9-83FE13A384C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C24-43B7-AFC9-83FE13A384CA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C24-43B7-AFC9-83FE13A384CA}"/>
              </c:ext>
            </c:extLst>
          </c:dPt>
          <c:dPt>
            <c:idx val="3"/>
            <c:bubble3D val="0"/>
            <c:spPr>
              <a:solidFill>
                <a:srgbClr val="92D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C24-43B7-AFC9-83FE13A384CA}"/>
              </c:ext>
            </c:extLst>
          </c:dPt>
          <c:dPt>
            <c:idx val="4"/>
            <c:bubble3D val="0"/>
            <c:spPr>
              <a:solidFill>
                <a:srgbClr val="00B050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C24-43B7-AFC9-83FE13A384CA}"/>
              </c:ext>
            </c:extLst>
          </c:dPt>
          <c:dLbls>
            <c:dLbl>
              <c:idx val="3"/>
              <c:layout>
                <c:manualLayout>
                  <c:x val="-0.13063797240068922"/>
                  <c:y val="1.5422513526591297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24-43B7-AFC9-83FE13A384CA}"/>
                </c:ext>
              </c:extLst>
            </c:dLbl>
            <c:dLbl>
              <c:idx val="4"/>
              <c:layout>
                <c:manualLayout>
                  <c:x val="5.3022364962234392E-2"/>
                  <c:y val="2.5056867447054463E-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C24-43B7-AFC9-83FE13A384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0" i="0" u="none" strike="noStrike" kern="1200" baseline="0">
                    <a:ln>
                      <a:noFill/>
                    </a:ln>
                    <a:solidFill>
                      <a:schemeClr val="tx1"/>
                    </a:solidFill>
                    <a:latin typeface="Nordique Inline" panose="020F0502020204030204" pitchFamily="34" charset="0"/>
                    <a:ea typeface="+mn-ea"/>
                    <a:cs typeface="Nordique Inline" panose="020F0502020204030204" pitchFamily="34" charset="0"/>
                  </a:defRPr>
                </a:pPr>
                <a:endParaRPr lang="fr-F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Traitement!$A$13:$E$13</c:f>
              <c:strCache>
                <c:ptCount val="5"/>
                <c:pt idx="0">
                  <c:v>E</c:v>
                </c:pt>
                <c:pt idx="1">
                  <c:v>D</c:v>
                </c:pt>
                <c:pt idx="2">
                  <c:v>C</c:v>
                </c:pt>
                <c:pt idx="3">
                  <c:v>B</c:v>
                </c:pt>
                <c:pt idx="4">
                  <c:v>A</c:v>
                </c:pt>
              </c:strCache>
            </c:strRef>
          </c:cat>
          <c:val>
            <c:numRef>
              <c:f>Traitement!$A$14:$E$14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0.246590909090909</c:v>
                </c:pt>
                <c:pt idx="3">
                  <c:v>0.59867424242424205</c:v>
                </c:pt>
                <c:pt idx="4">
                  <c:v>0.154734848484848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C24-43B7-AFC9-83FE13A384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Style="combo" dx="15" noThreeD="1" sel="0" val="0"/>
</file>

<file path=xl/ctrlProps/ctrlProp4.xml><?xml version="1.0" encoding="utf-8"?>
<formControlPr xmlns="http://schemas.microsoft.com/office/spreadsheetml/2009/9/main" objectType="Drop" dropStyle="combo" dx="15" noThreeD="1" sel="0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image" Target="../media/image4.png"/><Relationship Id="rId5" Type="http://schemas.openxmlformats.org/officeDocument/2006/relationships/image" Target="../media/image3.sv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3" Type="http://schemas.openxmlformats.org/officeDocument/2006/relationships/image" Target="../media/image1.png"/><Relationship Id="rId7" Type="http://schemas.openxmlformats.org/officeDocument/2006/relationships/image" Target="../media/image5.sv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image" Target="../media/image4.png"/><Relationship Id="rId11" Type="http://schemas.openxmlformats.org/officeDocument/2006/relationships/image" Target="../media/image9.svg"/><Relationship Id="rId5" Type="http://schemas.openxmlformats.org/officeDocument/2006/relationships/image" Target="../media/image3.svg"/><Relationship Id="rId10" Type="http://schemas.openxmlformats.org/officeDocument/2006/relationships/image" Target="../media/image8.png"/><Relationship Id="rId4" Type="http://schemas.openxmlformats.org/officeDocument/2006/relationships/image" Target="../media/image2.png"/><Relationship Id="rId9" Type="http://schemas.openxmlformats.org/officeDocument/2006/relationships/image" Target="../media/image7.sv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90524" y="209550"/>
    <xdr:ext cx="5372101" cy="4857750"/>
    <xdr:graphicFrame macro="[0]!Lance_formulaire">
      <xdr:nvGraphicFramePr>
        <xdr:cNvPr id="5" name="Graphique 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7620</xdr:rowOff>
        </xdr:from>
        <xdr:to>
          <xdr:col>11</xdr:col>
          <xdr:colOff>22860</xdr:colOff>
          <xdr:row>4</xdr:row>
          <xdr:rowOff>182880</xdr:rowOff>
        </xdr:to>
        <xdr:sp macro="" textlink="">
          <xdr:nvSpPr>
            <xdr:cNvPr id="2049" name="Button 1" descr="Mon Historiqu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Consommateur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784860</xdr:colOff>
          <xdr:row>7</xdr:row>
          <xdr:rowOff>22860</xdr:rowOff>
        </xdr:from>
        <xdr:to>
          <xdr:col>11</xdr:col>
          <xdr:colOff>7620</xdr:colOff>
          <xdr:row>11</xdr:row>
          <xdr:rowOff>7620</xdr:rowOff>
        </xdr:to>
        <xdr:sp macro="" textlink="">
          <xdr:nvSpPr>
            <xdr:cNvPr id="2050" name="Button 2" descr="Mon Historiqu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Mon Historique Producteur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0.21875</cdr:x>
      <cdr:y>0.64489</cdr:y>
    </cdr:from>
    <cdr:to>
      <cdr:x>0.78281</cdr:x>
      <cdr:y>0.89782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1066800" y="2830499"/>
          <a:ext cx="2750819" cy="11101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2600">
              <a:solidFill>
                <a:schemeClr val="tx1"/>
              </a:solidFill>
            </a:rPr>
            <a:t>Nutriscore : </a:t>
          </a:r>
        </a:p>
      </cdr:txBody>
    </cdr:sp>
  </cdr:relSizeAnchor>
  <cdr:relSizeAnchor xmlns:cdr="http://schemas.openxmlformats.org/drawingml/2006/chartDrawing">
    <cdr:from>
      <cdr:x>0.03513</cdr:x>
      <cdr:y>0.01885</cdr:y>
    </cdr:from>
    <cdr:to>
      <cdr:x>1</cdr:x>
      <cdr:y>0.09201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28600" y="100402"/>
          <a:ext cx="6278880" cy="3896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fr-FR" sz="1500"/>
            <a:t>Cliquer</a:t>
          </a:r>
          <a:r>
            <a:rPr lang="fr-FR" sz="1500" baseline="0"/>
            <a:t> ici pour calculer le nutri-score de votre produit </a:t>
          </a:r>
        </a:p>
        <a:p xmlns:a="http://schemas.openxmlformats.org/drawingml/2006/main">
          <a:endParaRPr lang="fr-FR" sz="15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6185" name="ZoneTexte 6184">
          <a:extLst>
            <a:ext uri="{FF2B5EF4-FFF2-40B4-BE49-F238E27FC236}">
              <a16:creationId xmlns:a16="http://schemas.microsoft.com/office/drawing/2014/main" id="{3FA0E673-E34C-48BB-B9E7-6F1237418292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6186" name="Groupe 6185">
          <a:extLst>
            <a:ext uri="{FF2B5EF4-FFF2-40B4-BE49-F238E27FC236}">
              <a16:creationId xmlns:a16="http://schemas.microsoft.com/office/drawing/2014/main" id="{F5482C05-3FCF-44C7-9FD3-5EB7D124903D}"/>
            </a:ext>
          </a:extLst>
        </xdr:cNvPr>
        <xdr:cNvGrpSpPr/>
      </xdr:nvGrpSpPr>
      <xdr:grpSpPr>
        <a:xfrm>
          <a:off x="139700" y="1817914"/>
          <a:ext cx="13044714" cy="3886200"/>
          <a:chOff x="139700" y="838200"/>
          <a:chExt cx="13017500" cy="4267200"/>
        </a:xfrm>
      </xdr:grpSpPr>
      <xdr:grpSp>
        <xdr:nvGrpSpPr>
          <xdr:cNvPr id="6187" name="Groupe 6186">
            <a:extLst>
              <a:ext uri="{FF2B5EF4-FFF2-40B4-BE49-F238E27FC236}">
                <a16:creationId xmlns:a16="http://schemas.microsoft.com/office/drawing/2014/main" id="{B2E4FA99-FC63-AEF3-03BE-2E981D06B992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6189" name="Rectangle 6188">
              <a:extLst>
                <a:ext uri="{FF2B5EF4-FFF2-40B4-BE49-F238E27FC236}">
                  <a16:creationId xmlns:a16="http://schemas.microsoft.com/office/drawing/2014/main" id="{99B6C436-46CA-239A-6A99-AA8AA5219C6F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6190" name="Graphique 1">
              <a:extLst>
                <a:ext uri="{FF2B5EF4-FFF2-40B4-BE49-F238E27FC236}">
                  <a16:creationId xmlns:a16="http://schemas.microsoft.com/office/drawing/2014/main" id="{FC31425B-9EF2-943A-7A77-3415A5DC5269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17">
          <xdr:nvSpPr>
            <xdr:cNvPr id="6191" name="ZoneTexte 6190">
              <a:extLst>
                <a:ext uri="{FF2B5EF4-FFF2-40B4-BE49-F238E27FC236}">
                  <a16:creationId xmlns:a16="http://schemas.microsoft.com/office/drawing/2014/main" id="{6933AE8B-AEC5-8BCC-0432-1CFD2B26FBFE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5B63264F-4E80-4ECD-B9EB-780785D254C4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t> Bon choix ! C'est une option raisonnable pour votre santé.</a:t>
              </a:fld>
              <a:endParaRPr lang="en-US" sz="2600">
                <a:latin typeface="Nordique Inline" panose="00000500000000000000" pitchFamily="2" charset="0"/>
              </a:endParaRPr>
            </a:p>
          </xdr:txBody>
        </xdr:sp>
        <xdr:sp macro="" textlink="">
          <xdr:nvSpPr>
            <xdr:cNvPr id="6192" name="Rectangle 6191">
              <a:extLst>
                <a:ext uri="{FF2B5EF4-FFF2-40B4-BE49-F238E27FC236}">
                  <a16:creationId xmlns:a16="http://schemas.microsoft.com/office/drawing/2014/main" id="{385BBBB0-EC8A-490D-605C-0F7937226B20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6188" name="ZoneTexte 6187">
            <a:extLst>
              <a:ext uri="{FF2B5EF4-FFF2-40B4-BE49-F238E27FC236}">
                <a16:creationId xmlns:a16="http://schemas.microsoft.com/office/drawing/2014/main" id="{97CFE46C-F7AA-E0EE-FE89-D666471808A6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6193" name="Groupe 6192">
          <a:extLst>
            <a:ext uri="{FF2B5EF4-FFF2-40B4-BE49-F238E27FC236}">
              <a16:creationId xmlns:a16="http://schemas.microsoft.com/office/drawing/2014/main" id="{20B95246-6428-4D45-BC3A-A30C31A15BFB}"/>
            </a:ext>
          </a:extLst>
        </xdr:cNvPr>
        <xdr:cNvGrpSpPr/>
      </xdr:nvGrpSpPr>
      <xdr:grpSpPr>
        <a:xfrm>
          <a:off x="5001986" y="5295897"/>
          <a:ext cx="8157028" cy="3579587"/>
          <a:chOff x="4965700" y="4673597"/>
          <a:chExt cx="8242300" cy="3924301"/>
        </a:xfrm>
      </xdr:grpSpPr>
      <xdr:grpSp>
        <xdr:nvGrpSpPr>
          <xdr:cNvPr id="6194" name="Groupe 6193">
            <a:extLst>
              <a:ext uri="{FF2B5EF4-FFF2-40B4-BE49-F238E27FC236}">
                <a16:creationId xmlns:a16="http://schemas.microsoft.com/office/drawing/2014/main" id="{0261E91C-14FB-5CD3-B460-D2ADE9B1611D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6196" name="Groupe 6195">
              <a:extLst>
                <a:ext uri="{FF2B5EF4-FFF2-40B4-BE49-F238E27FC236}">
                  <a16:creationId xmlns:a16="http://schemas.microsoft.com/office/drawing/2014/main" id="{CFA0F33B-C8AF-A486-8599-7FE6A15F47DF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6198" name="Groupe 6197">
                <a:extLst>
                  <a:ext uri="{FF2B5EF4-FFF2-40B4-BE49-F238E27FC236}">
                    <a16:creationId xmlns:a16="http://schemas.microsoft.com/office/drawing/2014/main" id="{E44897BD-B9C4-82FB-981F-C53946CA7248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6202" name="Rectangle 6201">
                  <a:extLst>
                    <a:ext uri="{FF2B5EF4-FFF2-40B4-BE49-F238E27FC236}">
                      <a16:creationId xmlns:a16="http://schemas.microsoft.com/office/drawing/2014/main" id="{22EE467F-D7AE-70A9-2F92-B0B24CEDF70F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6203" name="ZoneTexte 6202">
                  <a:extLst>
                    <a:ext uri="{FF2B5EF4-FFF2-40B4-BE49-F238E27FC236}">
                      <a16:creationId xmlns:a16="http://schemas.microsoft.com/office/drawing/2014/main" id="{34D08A7A-B259-41B5-3524-3B3810F856F8}"/>
                    </a:ext>
                  </a:extLst>
                </xdr:cNvPr>
                <xdr:cNvSpPr txBox="1"/>
              </xdr:nvSpPr>
              <xdr:spPr>
                <a:xfrm>
                  <a:off x="13792200" y="1397863"/>
                  <a:ext cx="3403600" cy="1551536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6204" name="Rectangle 6203">
                  <a:extLst>
                    <a:ext uri="{FF2B5EF4-FFF2-40B4-BE49-F238E27FC236}">
                      <a16:creationId xmlns:a16="http://schemas.microsoft.com/office/drawing/2014/main" id="{4A6E00DF-7AFE-B0DA-F15F-A00AF4D6603D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6199" name="ZoneTexte 6198">
                <a:extLst>
                  <a:ext uri="{FF2B5EF4-FFF2-40B4-BE49-F238E27FC236}">
                    <a16:creationId xmlns:a16="http://schemas.microsoft.com/office/drawing/2014/main" id="{9CD89161-96A6-E598-35EF-494663F4B787}"/>
                  </a:ext>
                </a:extLst>
              </xdr:cNvPr>
              <xdr:cNvSpPr txBox="1"/>
            </xdr:nvSpPr>
            <xdr:spPr>
              <a:xfrm>
                <a:off x="16564434" y="6141104"/>
                <a:ext cx="999552" cy="4318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B6304C90-A849-4A05-9910-6675FCFCC48F}" type="TxLink">
                  <a:rPr lang="en-US" sz="22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t>60%</a:t>
                </a:fld>
                <a:endParaRPr lang="fr-FR" sz="22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6200" name="Graphique 6199">
                <a:extLst>
                  <a:ext uri="{FF2B5EF4-FFF2-40B4-BE49-F238E27FC236}">
                    <a16:creationId xmlns:a16="http://schemas.microsoft.com/office/drawing/2014/main" id="{CC1A6FC5-138B-060A-DD7E-3C2A66E7F9E5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6201" name="ZoneTexte 6200">
                <a:extLst>
                  <a:ext uri="{FF2B5EF4-FFF2-40B4-BE49-F238E27FC236}">
                    <a16:creationId xmlns:a16="http://schemas.microsoft.com/office/drawing/2014/main" id="{76BBB7A6-ED3C-BD0F-9637-C816DD8B50A1}"/>
                  </a:ext>
                </a:extLst>
              </xdr:cNvPr>
              <xdr:cNvSpPr txBox="1"/>
            </xdr:nvSpPr>
            <xdr:spPr>
              <a:xfrm>
                <a:off x="15315969" y="7208338"/>
                <a:ext cx="467917" cy="482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7EA3F462-9FAF-4D93-9C2B-671E0C276723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t>B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6197" name="ZoneTexte 6196">
              <a:extLst>
                <a:ext uri="{FF2B5EF4-FFF2-40B4-BE49-F238E27FC236}">
                  <a16:creationId xmlns:a16="http://schemas.microsoft.com/office/drawing/2014/main" id="{83DEA2C9-3972-4C9A-3548-8937BD86E123}"/>
                </a:ext>
              </a:extLst>
            </xdr:cNvPr>
            <xdr:cNvSpPr txBox="1"/>
          </xdr:nvSpPr>
          <xdr:spPr>
            <a:xfrm flipH="1">
              <a:off x="15652955" y="7206728"/>
              <a:ext cx="314080" cy="4113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6195" name="ZoneTexte 6194">
            <a:extLst>
              <a:ext uri="{FF2B5EF4-FFF2-40B4-BE49-F238E27FC236}">
                <a16:creationId xmlns:a16="http://schemas.microsoft.com/office/drawing/2014/main" id="{84E79039-FCAB-B6FD-A3E2-21368DFFA675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6205" name="Groupe 6204">
          <a:extLst>
            <a:ext uri="{FF2B5EF4-FFF2-40B4-BE49-F238E27FC236}">
              <a16:creationId xmlns:a16="http://schemas.microsoft.com/office/drawing/2014/main" id="{1CE4BE3E-31F3-4B1B-8F67-60C3F0A6B124}"/>
            </a:ext>
          </a:extLst>
        </xdr:cNvPr>
        <xdr:cNvGrpSpPr/>
      </xdr:nvGrpSpPr>
      <xdr:grpSpPr>
        <a:xfrm>
          <a:off x="25400" y="5257800"/>
          <a:ext cx="4963886" cy="2775857"/>
          <a:chOff x="38100" y="4648200"/>
          <a:chExt cx="4953000" cy="3048000"/>
        </a:xfrm>
      </xdr:grpSpPr>
      <xdr:grpSp>
        <xdr:nvGrpSpPr>
          <xdr:cNvPr id="6206" name="Groupe 6205">
            <a:extLst>
              <a:ext uri="{FF2B5EF4-FFF2-40B4-BE49-F238E27FC236}">
                <a16:creationId xmlns:a16="http://schemas.microsoft.com/office/drawing/2014/main" id="{E28FF9E8-EDB1-BBDA-4480-ACB6FABEE700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6208" name="Groupe 6207">
              <a:extLst>
                <a:ext uri="{FF2B5EF4-FFF2-40B4-BE49-F238E27FC236}">
                  <a16:creationId xmlns:a16="http://schemas.microsoft.com/office/drawing/2014/main" id="{D2D7B09B-28E4-570C-55FF-B4D3E8A5B6A4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6214" name="Rectangle 6213">
                <a:extLst>
                  <a:ext uri="{FF2B5EF4-FFF2-40B4-BE49-F238E27FC236}">
                    <a16:creationId xmlns:a16="http://schemas.microsoft.com/office/drawing/2014/main" id="{013746ED-C3A9-1B0F-298F-0BE7288CF2E5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215" name="Rectangle 6214">
                <a:extLst>
                  <a:ext uri="{FF2B5EF4-FFF2-40B4-BE49-F238E27FC236}">
                    <a16:creationId xmlns:a16="http://schemas.microsoft.com/office/drawing/2014/main" id="{9930FB4B-2D62-08FA-60FB-1EEA3A80EEB2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6]Données!E21">
          <xdr:nvSpPr>
            <xdr:cNvPr id="6209" name="ZoneTexte 6208">
              <a:extLst>
                <a:ext uri="{FF2B5EF4-FFF2-40B4-BE49-F238E27FC236}">
                  <a16:creationId xmlns:a16="http://schemas.microsoft.com/office/drawing/2014/main" id="{551C7F0E-85B0-7B2C-548C-D2483D82E10F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B5FF3A4C-8D18-B94C-B05D-2AD12C0F882B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6]Données!E22">
          <xdr:nvSpPr>
            <xdr:cNvPr id="6210" name="ZoneTexte 6209">
              <a:extLst>
                <a:ext uri="{FF2B5EF4-FFF2-40B4-BE49-F238E27FC236}">
                  <a16:creationId xmlns:a16="http://schemas.microsoft.com/office/drawing/2014/main" id="{360FCD04-857F-673A-3511-B7AF0D83672E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6]Données!E23">
          <xdr:nvSpPr>
            <xdr:cNvPr id="6211" name="ZoneTexte 6210">
              <a:extLst>
                <a:ext uri="{FF2B5EF4-FFF2-40B4-BE49-F238E27FC236}">
                  <a16:creationId xmlns:a16="http://schemas.microsoft.com/office/drawing/2014/main" id="{B6B58E51-D0E7-E66E-4B2D-28F05FFB840B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6212" name="Image 6211">
              <a:extLst>
                <a:ext uri="{FF2B5EF4-FFF2-40B4-BE49-F238E27FC236}">
                  <a16:creationId xmlns:a16="http://schemas.microsoft.com/office/drawing/2014/main" id="{FF820931-BF17-7C1B-E264-47B1FBBF5C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51277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6213" name="ZoneTexte 6212">
              <a:extLst>
                <a:ext uri="{FF2B5EF4-FFF2-40B4-BE49-F238E27FC236}">
                  <a16:creationId xmlns:a16="http://schemas.microsoft.com/office/drawing/2014/main" id="{2AAB75F3-C135-E56A-3D18-3A59812DD3FB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6207" name="ZoneTexte 6206">
            <a:extLst>
              <a:ext uri="{FF2B5EF4-FFF2-40B4-BE49-F238E27FC236}">
                <a16:creationId xmlns:a16="http://schemas.microsoft.com/office/drawing/2014/main" id="{5E97AF51-2710-20A3-1828-CBD94942BA65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6216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A71AA99-14CA-46DE-AD0F-BEC51ADE16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6217" name="Groupe 6216">
          <a:extLst>
            <a:ext uri="{FF2B5EF4-FFF2-40B4-BE49-F238E27FC236}">
              <a16:creationId xmlns:a16="http://schemas.microsoft.com/office/drawing/2014/main" id="{6A981300-F485-46D0-A41E-DD81CC6D0455}"/>
            </a:ext>
          </a:extLst>
        </xdr:cNvPr>
        <xdr:cNvGrpSpPr/>
      </xdr:nvGrpSpPr>
      <xdr:grpSpPr>
        <a:xfrm>
          <a:off x="165100" y="7739743"/>
          <a:ext cx="4784271" cy="1143000"/>
          <a:chOff x="152400" y="7353300"/>
          <a:chExt cx="4775200" cy="1270000"/>
        </a:xfrm>
      </xdr:grpSpPr>
      <xdr:sp macro="" textlink="">
        <xdr:nvSpPr>
          <xdr:cNvPr id="6218" name="Rectangle 6217">
            <a:extLst>
              <a:ext uri="{FF2B5EF4-FFF2-40B4-BE49-F238E27FC236}">
                <a16:creationId xmlns:a16="http://schemas.microsoft.com/office/drawing/2014/main" id="{56ACC78C-31C5-4985-BFCF-108409022AD9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6219" name="Groupe 6218">
            <a:extLst>
              <a:ext uri="{FF2B5EF4-FFF2-40B4-BE49-F238E27FC236}">
                <a16:creationId xmlns:a16="http://schemas.microsoft.com/office/drawing/2014/main" id="{C069E202-A55B-CD81-BA57-0BA847B294A0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6220" name="Freeform 29">
              <a:extLst>
                <a:ext uri="{FF2B5EF4-FFF2-40B4-BE49-F238E27FC236}">
                  <a16:creationId xmlns:a16="http://schemas.microsoft.com/office/drawing/2014/main" id="{4CFAD3BA-0122-6EA1-62DE-F7246488EC7C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6221" name="TextBox 44">
              <a:extLst>
                <a:ext uri="{FF2B5EF4-FFF2-40B4-BE49-F238E27FC236}">
                  <a16:creationId xmlns:a16="http://schemas.microsoft.com/office/drawing/2014/main" id="{56533432-0418-B476-F2B6-E8910615E98D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6222" name="ZoneTexte 6221">
          <a:extLst>
            <a:ext uri="{FF2B5EF4-FFF2-40B4-BE49-F238E27FC236}">
              <a16:creationId xmlns:a16="http://schemas.microsoft.com/office/drawing/2014/main" id="{1306F6B6-4D5D-4DDD-8FB9-E6DF0EE7A43C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consommateurs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6223" name="Graphique 6222">
          <a:extLst>
            <a:ext uri="{FF2B5EF4-FFF2-40B4-BE49-F238E27FC236}">
              <a16:creationId xmlns:a16="http://schemas.microsoft.com/office/drawing/2014/main" id="{6B3B8CB5-5233-41BC-B564-8B0C8348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6224" name="Graphique 6223">
          <a:extLst>
            <a:ext uri="{FF2B5EF4-FFF2-40B4-BE49-F238E27FC236}">
              <a16:creationId xmlns:a16="http://schemas.microsoft.com/office/drawing/2014/main" id="{AB18CA65-AEC5-4941-9B44-A4386B623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0.39793</cdr:x>
      <cdr:y>0.61272</cdr:y>
    </cdr:from>
    <cdr:to>
      <cdr:x>0.51475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457478" y="2366979"/>
          <a:ext cx="1015012" cy="59533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B34D7BA8-1DE2-40AC-881C-ED3AFDB4910D}" type="TxLink">
            <a:rPr lang="en-US" sz="24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Arial" panose="020B0604020202020204" pitchFamily="34" charset="0"/>
            </a:rPr>
            <a:t>B</a:t>
          </a:fld>
          <a:endParaRPr lang="fr-FR" sz="2400">
            <a:solidFill>
              <a:srgbClr val="002060"/>
            </a:solidFill>
            <a:latin typeface="Nordique Inline" panose="00000500000000000000" pitchFamily="2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736600</xdr:colOff>
      <xdr:row>6</xdr:row>
      <xdr:rowOff>0</xdr:rowOff>
    </xdr:from>
    <xdr:to>
      <xdr:col>13</xdr:col>
      <xdr:colOff>165100</xdr:colOff>
      <xdr:row>9</xdr:row>
      <xdr:rowOff>25400</xdr:rowOff>
    </xdr:to>
    <xdr:sp macro="" textlink="">
      <xdr:nvSpPr>
        <xdr:cNvPr id="9216" name="ZoneTexte 9215">
          <a:extLst>
            <a:ext uri="{FF2B5EF4-FFF2-40B4-BE49-F238E27FC236}">
              <a16:creationId xmlns:a16="http://schemas.microsoft.com/office/drawing/2014/main" id="{795FFCBE-CFB5-4BD0-91AE-E3D7B78894BB}"/>
            </a:ext>
          </a:extLst>
        </xdr:cNvPr>
        <xdr:cNvSpPr txBox="1"/>
      </xdr:nvSpPr>
      <xdr:spPr>
        <a:xfrm>
          <a:off x="3205480" y="1188720"/>
          <a:ext cx="7658100" cy="6197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2500" b="1" u="sng">
              <a:latin typeface="Avenir Next Condensed" panose="020B0506020202020204" pitchFamily="34" charset="0"/>
              <a:cs typeface="Boucherie Block" panose="020F0502020204030204" pitchFamily="34" charset="0"/>
            </a:rPr>
            <a:t>Résultat pour le</a:t>
          </a:r>
          <a:r>
            <a:rPr lang="fr-FR" sz="2500" b="1" u="sng" baseline="0">
              <a:latin typeface="Avenir Next Condensed" panose="020B0506020202020204" pitchFamily="34" charset="0"/>
              <a:cs typeface="Boucherie Block" panose="020F0502020204030204" pitchFamily="34" charset="0"/>
            </a:rPr>
            <a:t> produit  : </a:t>
          </a:r>
          <a:endParaRPr lang="fr-FR" sz="2500" b="1" u="sng">
            <a:latin typeface="Avenir Next Condensed" panose="020B0506020202020204" pitchFamily="34" charset="0"/>
            <a:cs typeface="Boucherie Block" panose="020F0502020204030204" pitchFamily="34" charset="0"/>
          </a:endParaRPr>
        </a:p>
      </xdr:txBody>
    </xdr:sp>
    <xdr:clientData/>
  </xdr:twoCellAnchor>
  <xdr:twoCellAnchor>
    <xdr:from>
      <xdr:col>0</xdr:col>
      <xdr:colOff>139700</xdr:colOff>
      <xdr:row>9</xdr:row>
      <xdr:rowOff>152400</xdr:rowOff>
    </xdr:from>
    <xdr:to>
      <xdr:col>15</xdr:col>
      <xdr:colOff>774700</xdr:colOff>
      <xdr:row>30</xdr:row>
      <xdr:rowOff>152400</xdr:rowOff>
    </xdr:to>
    <xdr:grpSp>
      <xdr:nvGrpSpPr>
        <xdr:cNvPr id="9218" name="Groupe 9217">
          <a:extLst>
            <a:ext uri="{FF2B5EF4-FFF2-40B4-BE49-F238E27FC236}">
              <a16:creationId xmlns:a16="http://schemas.microsoft.com/office/drawing/2014/main" id="{D24340E9-7E28-4E27-BA7C-B562FF875628}"/>
            </a:ext>
          </a:extLst>
        </xdr:cNvPr>
        <xdr:cNvGrpSpPr/>
      </xdr:nvGrpSpPr>
      <xdr:grpSpPr>
        <a:xfrm>
          <a:off x="139700" y="1773382"/>
          <a:ext cx="12896273" cy="3782291"/>
          <a:chOff x="139700" y="838200"/>
          <a:chExt cx="13017500" cy="4267200"/>
        </a:xfrm>
      </xdr:grpSpPr>
      <xdr:grpSp>
        <xdr:nvGrpSpPr>
          <xdr:cNvPr id="9219" name="Groupe 9218">
            <a:extLst>
              <a:ext uri="{FF2B5EF4-FFF2-40B4-BE49-F238E27FC236}">
                <a16:creationId xmlns:a16="http://schemas.microsoft.com/office/drawing/2014/main" id="{709FF2FC-10EF-9A3D-ACBB-D884B32582B9}"/>
              </a:ext>
            </a:extLst>
          </xdr:cNvPr>
          <xdr:cNvGrpSpPr/>
        </xdr:nvGrpSpPr>
        <xdr:grpSpPr>
          <a:xfrm>
            <a:off x="139700" y="838200"/>
            <a:ext cx="13017500" cy="4267200"/>
            <a:chOff x="6311900" y="50800"/>
            <a:chExt cx="11125200" cy="4849091"/>
          </a:xfrm>
        </xdr:grpSpPr>
        <xdr:sp macro="" textlink="">
          <xdr:nvSpPr>
            <xdr:cNvPr id="9221" name="Rectangle 9220">
              <a:extLst>
                <a:ext uri="{FF2B5EF4-FFF2-40B4-BE49-F238E27FC236}">
                  <a16:creationId xmlns:a16="http://schemas.microsoft.com/office/drawing/2014/main" id="{828BFF06-EFE2-4AA4-4D0E-6C15F4C2C871}"/>
                </a:ext>
              </a:extLst>
            </xdr:cNvPr>
            <xdr:cNvSpPr/>
          </xdr:nvSpPr>
          <xdr:spPr>
            <a:xfrm>
              <a:off x="6311900" y="50800"/>
              <a:ext cx="11125200" cy="41275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graphicFrame macro="">
          <xdr:nvGraphicFramePr>
            <xdr:cNvPr id="9222" name="Graphique 1">
              <a:extLst>
                <a:ext uri="{FF2B5EF4-FFF2-40B4-BE49-F238E27FC236}">
                  <a16:creationId xmlns:a16="http://schemas.microsoft.com/office/drawing/2014/main" id="{5A2F3624-74F6-F20D-1D3A-3055CC7D12E5}"/>
                </a:ext>
              </a:extLst>
            </xdr:cNvPr>
            <xdr:cNvGraphicFramePr/>
          </xdr:nvGraphicFramePr>
          <xdr:xfrm>
            <a:off x="7437368" y="79664"/>
            <a:ext cx="7410159" cy="482022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Traitement!$A$19">
          <xdr:nvSpPr>
            <xdr:cNvPr id="9223" name="ZoneTexte 9222">
              <a:extLst>
                <a:ext uri="{FF2B5EF4-FFF2-40B4-BE49-F238E27FC236}">
                  <a16:creationId xmlns:a16="http://schemas.microsoft.com/office/drawing/2014/main" id="{6791E46A-FA16-8188-87FC-7F0EB9D79338}"/>
                </a:ext>
              </a:extLst>
            </xdr:cNvPr>
            <xdr:cNvSpPr txBox="1"/>
          </xdr:nvSpPr>
          <xdr:spPr>
            <a:xfrm>
              <a:off x="12327675" y="764578"/>
              <a:ext cx="4880827" cy="2994764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fld id="{A2D88185-25CA-4F29-9788-1B7F57D810BB}" type="TxLink">
                <a:rPr lang="en-US" sz="2600" b="0" i="0" u="none" strike="noStrike">
                  <a:solidFill>
                    <a:srgbClr val="000000"/>
                  </a:solidFill>
                  <a:latin typeface="Nordique Inline" panose="00000500000000000000" pitchFamily="2" charset="0"/>
                  <a:ea typeface="Calibri"/>
                  <a:cs typeface="Calibri"/>
                </a:rPr>
                <a:t> Votre produit offre une bonne qualité nutritionnelle. Cela plaira à vos clients.</a:t>
              </a:fld>
              <a:endParaRPr lang="fr-FR" sz="2600">
                <a:latin typeface="Nordique Inline" panose="00000500000000000000" pitchFamily="2" charset="0"/>
                <a:cs typeface="Nordique Inline" panose="020F0502020204030204" pitchFamily="34" charset="0"/>
              </a:endParaRPr>
            </a:p>
          </xdr:txBody>
        </xdr:sp>
        <xdr:sp macro="" textlink="">
          <xdr:nvSpPr>
            <xdr:cNvPr id="9224" name="Rectangle 9223">
              <a:extLst>
                <a:ext uri="{FF2B5EF4-FFF2-40B4-BE49-F238E27FC236}">
                  <a16:creationId xmlns:a16="http://schemas.microsoft.com/office/drawing/2014/main" id="{E06C0C02-4C02-5738-44F5-52A297EAE579}"/>
                </a:ext>
              </a:extLst>
            </xdr:cNvPr>
            <xdr:cNvSpPr/>
          </xdr:nvSpPr>
          <xdr:spPr>
            <a:xfrm>
              <a:off x="6311900" y="50800"/>
              <a:ext cx="1015909" cy="4127500"/>
            </a:xfrm>
            <a:prstGeom prst="rect">
              <a:avLst/>
            </a:prstGeom>
            <a:solidFill>
              <a:schemeClr val="accent6"/>
            </a:solidFill>
            <a:ln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</xdr:grpSp>
      <xdr:sp macro="" textlink="">
        <xdr:nvSpPr>
          <xdr:cNvPr id="9220" name="ZoneTexte 9219">
            <a:extLst>
              <a:ext uri="{FF2B5EF4-FFF2-40B4-BE49-F238E27FC236}">
                <a16:creationId xmlns:a16="http://schemas.microsoft.com/office/drawing/2014/main" id="{F634DA69-CD5D-AD51-8358-FE6025B7C832}"/>
              </a:ext>
            </a:extLst>
          </xdr:cNvPr>
          <xdr:cNvSpPr txBox="1"/>
        </xdr:nvSpPr>
        <xdr:spPr>
          <a:xfrm>
            <a:off x="190500" y="23876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Jauge</a:t>
            </a:r>
          </a:p>
        </xdr:txBody>
      </xdr:sp>
    </xdr:grpSp>
    <xdr:clientData/>
  </xdr:twoCellAnchor>
  <xdr:twoCellAnchor>
    <xdr:from>
      <xdr:col>6</xdr:col>
      <xdr:colOff>38100</xdr:colOff>
      <xdr:row>28</xdr:row>
      <xdr:rowOff>114297</xdr:rowOff>
    </xdr:from>
    <xdr:to>
      <xdr:col>15</xdr:col>
      <xdr:colOff>749300</xdr:colOff>
      <xdr:row>47</xdr:row>
      <xdr:rowOff>177798</xdr:rowOff>
    </xdr:to>
    <xdr:grpSp>
      <xdr:nvGrpSpPr>
        <xdr:cNvPr id="9225" name="Groupe 9224">
          <a:extLst>
            <a:ext uri="{FF2B5EF4-FFF2-40B4-BE49-F238E27FC236}">
              <a16:creationId xmlns:a16="http://schemas.microsoft.com/office/drawing/2014/main" id="{00A029C0-D510-4978-9D8B-8907BC56E318}"/>
            </a:ext>
          </a:extLst>
        </xdr:cNvPr>
        <xdr:cNvGrpSpPr/>
      </xdr:nvGrpSpPr>
      <xdr:grpSpPr>
        <a:xfrm>
          <a:off x="4942609" y="5157352"/>
          <a:ext cx="8067964" cy="3485573"/>
          <a:chOff x="4965700" y="4673597"/>
          <a:chExt cx="8242300" cy="3924301"/>
        </a:xfrm>
      </xdr:grpSpPr>
      <xdr:grpSp>
        <xdr:nvGrpSpPr>
          <xdr:cNvPr id="9226" name="Groupe 9225">
            <a:extLst>
              <a:ext uri="{FF2B5EF4-FFF2-40B4-BE49-F238E27FC236}">
                <a16:creationId xmlns:a16="http://schemas.microsoft.com/office/drawing/2014/main" id="{9321ADD1-F0A1-A3C1-C8EA-719B903EBF4C}"/>
              </a:ext>
            </a:extLst>
          </xdr:cNvPr>
          <xdr:cNvGrpSpPr/>
        </xdr:nvGrpSpPr>
        <xdr:grpSpPr>
          <a:xfrm>
            <a:off x="5029200" y="4673597"/>
            <a:ext cx="8178800" cy="3924301"/>
            <a:chOff x="6629400" y="4787898"/>
            <a:chExt cx="11212252" cy="4127502"/>
          </a:xfrm>
        </xdr:grpSpPr>
        <xdr:grpSp>
          <xdr:nvGrpSpPr>
            <xdr:cNvPr id="9228" name="Groupe 9227">
              <a:extLst>
                <a:ext uri="{FF2B5EF4-FFF2-40B4-BE49-F238E27FC236}">
                  <a16:creationId xmlns:a16="http://schemas.microsoft.com/office/drawing/2014/main" id="{9B48C96B-D8BC-A766-1489-268D78348264}"/>
                </a:ext>
              </a:extLst>
            </xdr:cNvPr>
            <xdr:cNvGrpSpPr/>
          </xdr:nvGrpSpPr>
          <xdr:grpSpPr>
            <a:xfrm>
              <a:off x="6629400" y="4787898"/>
              <a:ext cx="11212252" cy="4127502"/>
              <a:chOff x="6680200" y="4800598"/>
              <a:chExt cx="11212252" cy="4127502"/>
            </a:xfrm>
          </xdr:grpSpPr>
          <xdr:grpSp>
            <xdr:nvGrpSpPr>
              <xdr:cNvPr id="9230" name="Groupe 9229">
                <a:extLst>
                  <a:ext uri="{FF2B5EF4-FFF2-40B4-BE49-F238E27FC236}">
                    <a16:creationId xmlns:a16="http://schemas.microsoft.com/office/drawing/2014/main" id="{F64534DE-2803-56B2-CF5D-52228128A016}"/>
                  </a:ext>
                </a:extLst>
              </xdr:cNvPr>
              <xdr:cNvGrpSpPr/>
            </xdr:nvGrpSpPr>
            <xdr:grpSpPr>
              <a:xfrm>
                <a:off x="6680200" y="4800598"/>
                <a:ext cx="11212252" cy="4127502"/>
                <a:chOff x="6311900" y="50798"/>
                <a:chExt cx="11212252" cy="4127502"/>
              </a:xfrm>
            </xdr:grpSpPr>
            <xdr:sp macro="" textlink="">
              <xdr:nvSpPr>
                <xdr:cNvPr id="9234" name="Rectangle 9233">
                  <a:extLst>
                    <a:ext uri="{FF2B5EF4-FFF2-40B4-BE49-F238E27FC236}">
                      <a16:creationId xmlns:a16="http://schemas.microsoft.com/office/drawing/2014/main" id="{6D5BD751-39E0-F40A-8073-0093C9E42EDD}"/>
                    </a:ext>
                  </a:extLst>
                </xdr:cNvPr>
                <xdr:cNvSpPr/>
              </xdr:nvSpPr>
              <xdr:spPr>
                <a:xfrm>
                  <a:off x="6398952" y="50798"/>
                  <a:ext cx="11125200" cy="4127500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</xdr:spPr>
              <xdr:style>
                <a:lnRef idx="2">
                  <a:schemeClr val="accent6"/>
                </a:lnRef>
                <a:fillRef idx="1">
                  <a:schemeClr val="lt1"/>
                </a:fillRef>
                <a:effectRef idx="0">
                  <a:schemeClr val="accent6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9235" name="ZoneTexte 9234">
                  <a:extLst>
                    <a:ext uri="{FF2B5EF4-FFF2-40B4-BE49-F238E27FC236}">
                      <a16:creationId xmlns:a16="http://schemas.microsoft.com/office/drawing/2014/main" id="{C9BE172B-5F44-44C4-5DD5-5212D87BB309}"/>
                    </a:ext>
                  </a:extLst>
                </xdr:cNvPr>
                <xdr:cNvSpPr txBox="1"/>
              </xdr:nvSpPr>
              <xdr:spPr>
                <a:xfrm>
                  <a:off x="13758256" y="1129502"/>
                  <a:ext cx="3570244" cy="1819897"/>
                </a:xfrm>
                <a:prstGeom prst="rect">
                  <a:avLst/>
                </a:prstGeom>
                <a:solidFill>
                  <a:schemeClr val="accent3">
                    <a:lumMod val="40000"/>
                    <a:lumOff val="60000"/>
                  </a:schemeClr>
                </a:solidFill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r>
                    <a:rPr lang="en-US" sz="2000" b="0" i="0" u="none" strike="noStrike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Votre</a:t>
                  </a:r>
                  <a:r>
                    <a:rPr lang="en-US" sz="2000" b="0" i="0" u="none" strike="noStrike" baseline="0">
                      <a:solidFill>
                        <a:srgbClr val="000000"/>
                      </a:solidFill>
                      <a:latin typeface="Nordique Inline" panose="020F0502020204030204" pitchFamily="34" charset="0"/>
                      <a:cs typeface="Nordique Inline" panose="020F0502020204030204" pitchFamily="34" charset="0"/>
                    </a:rPr>
                    <a:t> produit a         de chance d'appartenir à la classe</a:t>
                  </a:r>
                </a:p>
              </xdr:txBody>
            </xdr:sp>
            <xdr:sp macro="" textlink="">
              <xdr:nvSpPr>
                <xdr:cNvPr id="9236" name="Rectangle 9235">
                  <a:extLst>
                    <a:ext uri="{FF2B5EF4-FFF2-40B4-BE49-F238E27FC236}">
                      <a16:creationId xmlns:a16="http://schemas.microsoft.com/office/drawing/2014/main" id="{CC862856-8BAD-9A1E-AF66-7F86D7BB9076}"/>
                    </a:ext>
                  </a:extLst>
                </xdr:cNvPr>
                <xdr:cNvSpPr/>
              </xdr:nvSpPr>
              <xdr:spPr>
                <a:xfrm>
                  <a:off x="6311900" y="50800"/>
                  <a:ext cx="1397000" cy="4127500"/>
                </a:xfrm>
                <a:prstGeom prst="rect">
                  <a:avLst/>
                </a:prstGeom>
                <a:solidFill>
                  <a:schemeClr val="accent6"/>
                </a:solidFill>
                <a:ln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Traitement!$D$3">
            <xdr:nvSpPr>
              <xdr:cNvPr id="9231" name="ZoneTexte 9230">
                <a:extLst>
                  <a:ext uri="{FF2B5EF4-FFF2-40B4-BE49-F238E27FC236}">
                    <a16:creationId xmlns:a16="http://schemas.microsoft.com/office/drawing/2014/main" id="{5ABACC52-86B3-5B13-04F6-FA07CA71B057}"/>
                  </a:ext>
                </a:extLst>
              </xdr:cNvPr>
              <xdr:cNvSpPr txBox="1"/>
            </xdr:nvSpPr>
            <xdr:spPr>
              <a:xfrm>
                <a:off x="16579513" y="5942354"/>
                <a:ext cx="1156094" cy="6588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9EA1010A-1738-4761-8A9E-CA98B4ED9F0F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t>60%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  <xdr:graphicFrame macro="">
            <xdr:nvGraphicFramePr>
              <xdr:cNvPr id="9232" name="Graphique 9231">
                <a:extLst>
                  <a:ext uri="{FF2B5EF4-FFF2-40B4-BE49-F238E27FC236}">
                    <a16:creationId xmlns:a16="http://schemas.microsoft.com/office/drawing/2014/main" id="{7509A13E-FB13-0A30-4DDC-5400D4A2C91D}"/>
                  </a:ext>
                </a:extLst>
              </xdr:cNvPr>
              <xdr:cNvGraphicFramePr/>
            </xdr:nvGraphicFramePr>
            <xdr:xfrm>
              <a:off x="8585653" y="5094467"/>
              <a:ext cx="4711342" cy="3263202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Traitement!$D$2">
            <xdr:nvSpPr>
              <xdr:cNvPr id="9233" name="ZoneTexte 9232">
                <a:extLst>
                  <a:ext uri="{FF2B5EF4-FFF2-40B4-BE49-F238E27FC236}">
                    <a16:creationId xmlns:a16="http://schemas.microsoft.com/office/drawing/2014/main" id="{D97CFA68-A742-F892-E8E7-20357408BB7F}"/>
                  </a:ext>
                </a:extLst>
              </xdr:cNvPr>
              <xdr:cNvSpPr txBox="1"/>
            </xdr:nvSpPr>
            <xdr:spPr>
              <a:xfrm>
                <a:off x="15335374" y="7060683"/>
                <a:ext cx="479287" cy="52485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fld id="{D19712CE-DB31-42A9-A0D1-80770C01C7E6}" type="TxLink">
                  <a:rPr lang="en-US" sz="2400" b="0" i="0" u="none" strike="noStrike">
                    <a:solidFill>
                      <a:srgbClr val="000000"/>
                    </a:solidFill>
                    <a:latin typeface="Nordique Inline" panose="00000500000000000000" pitchFamily="2" charset="0"/>
                    <a:ea typeface="Calibri"/>
                    <a:cs typeface="Calibri"/>
                  </a:rPr>
                  <a:t>B</a:t>
                </a:fld>
                <a:endParaRPr lang="fr-FR" sz="2400">
                  <a:latin typeface="Nordique Inline" panose="00000500000000000000" pitchFamily="2" charset="0"/>
                  <a:cs typeface="Nordique Inline" panose="020F0502020204030204" pitchFamily="34" charset="0"/>
                </a:endParaRPr>
              </a:p>
            </xdr:txBody>
          </xdr:sp>
        </xdr:grpSp>
        <xdr:sp macro="" textlink="">
          <xdr:nvSpPr>
            <xdr:cNvPr id="9229" name="ZoneTexte 9228">
              <a:extLst>
                <a:ext uri="{FF2B5EF4-FFF2-40B4-BE49-F238E27FC236}">
                  <a16:creationId xmlns:a16="http://schemas.microsoft.com/office/drawing/2014/main" id="{31DEA1C3-9E2A-1594-8DA5-E9F7DE370261}"/>
                </a:ext>
              </a:extLst>
            </xdr:cNvPr>
            <xdr:cNvSpPr txBox="1"/>
          </xdr:nvSpPr>
          <xdr:spPr>
            <a:xfrm flipH="1">
              <a:off x="15709060" y="7148813"/>
              <a:ext cx="462274" cy="522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2000">
                  <a:latin typeface="Nordique Inline" panose="020F0502020204030204" pitchFamily="34" charset="0"/>
                  <a:cs typeface="Nordique Inline" panose="020F0502020204030204" pitchFamily="34" charset="0"/>
                </a:rPr>
                <a:t>!</a:t>
              </a:r>
            </a:p>
          </xdr:txBody>
        </xdr:sp>
      </xdr:grpSp>
      <xdr:sp macro="" textlink="">
        <xdr:nvSpPr>
          <xdr:cNvPr id="9227" name="ZoneTexte 9226">
            <a:extLst>
              <a:ext uri="{FF2B5EF4-FFF2-40B4-BE49-F238E27FC236}">
                <a16:creationId xmlns:a16="http://schemas.microsoft.com/office/drawing/2014/main" id="{9B86A42B-9E40-99BB-47C0-72FA7AE77E55}"/>
              </a:ext>
            </a:extLst>
          </xdr:cNvPr>
          <xdr:cNvSpPr txBox="1"/>
        </xdr:nvSpPr>
        <xdr:spPr>
          <a:xfrm>
            <a:off x="4965700" y="6426200"/>
            <a:ext cx="12319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Classes</a:t>
            </a:r>
          </a:p>
        </xdr:txBody>
      </xdr:sp>
    </xdr:grpSp>
    <xdr:clientData/>
  </xdr:twoCellAnchor>
  <xdr:twoCellAnchor>
    <xdr:from>
      <xdr:col>0</xdr:col>
      <xdr:colOff>25400</xdr:colOff>
      <xdr:row>28</xdr:row>
      <xdr:rowOff>76200</xdr:rowOff>
    </xdr:from>
    <xdr:to>
      <xdr:col>6</xdr:col>
      <xdr:colOff>25400</xdr:colOff>
      <xdr:row>43</xdr:row>
      <xdr:rowOff>76200</xdr:rowOff>
    </xdr:to>
    <xdr:grpSp>
      <xdr:nvGrpSpPr>
        <xdr:cNvPr id="9237" name="Groupe 9236">
          <a:extLst>
            <a:ext uri="{FF2B5EF4-FFF2-40B4-BE49-F238E27FC236}">
              <a16:creationId xmlns:a16="http://schemas.microsoft.com/office/drawing/2014/main" id="{35EF4A4E-749A-4D05-BFE9-EFF094E190E8}"/>
            </a:ext>
          </a:extLst>
        </xdr:cNvPr>
        <xdr:cNvGrpSpPr/>
      </xdr:nvGrpSpPr>
      <xdr:grpSpPr>
        <a:xfrm>
          <a:off x="25400" y="5119255"/>
          <a:ext cx="4904509" cy="2701636"/>
          <a:chOff x="38100" y="4648200"/>
          <a:chExt cx="4953000" cy="3048000"/>
        </a:xfrm>
      </xdr:grpSpPr>
      <xdr:grpSp>
        <xdr:nvGrpSpPr>
          <xdr:cNvPr id="9238" name="Groupe 9237">
            <a:extLst>
              <a:ext uri="{FF2B5EF4-FFF2-40B4-BE49-F238E27FC236}">
                <a16:creationId xmlns:a16="http://schemas.microsoft.com/office/drawing/2014/main" id="{D1144821-060D-BC7C-1373-92363A889742}"/>
              </a:ext>
            </a:extLst>
          </xdr:cNvPr>
          <xdr:cNvGrpSpPr/>
        </xdr:nvGrpSpPr>
        <xdr:grpSpPr>
          <a:xfrm>
            <a:off x="152400" y="4648200"/>
            <a:ext cx="4838700" cy="3048000"/>
            <a:chOff x="622301" y="215900"/>
            <a:chExt cx="5509666" cy="4927107"/>
          </a:xfrm>
        </xdr:grpSpPr>
        <xdr:grpSp>
          <xdr:nvGrpSpPr>
            <xdr:cNvPr id="9240" name="Groupe 9239">
              <a:extLst>
                <a:ext uri="{FF2B5EF4-FFF2-40B4-BE49-F238E27FC236}">
                  <a16:creationId xmlns:a16="http://schemas.microsoft.com/office/drawing/2014/main" id="{3D823ABF-D394-3A64-F589-90E14572E9BC}"/>
                </a:ext>
              </a:extLst>
            </xdr:cNvPr>
            <xdr:cNvGrpSpPr/>
          </xdr:nvGrpSpPr>
          <xdr:grpSpPr>
            <a:xfrm>
              <a:off x="622301" y="215900"/>
              <a:ext cx="5422900" cy="4114800"/>
              <a:chOff x="6311902" y="50800"/>
              <a:chExt cx="11125200" cy="4127501"/>
            </a:xfrm>
          </xdr:grpSpPr>
          <xdr:sp macro="" textlink="">
            <xdr:nvSpPr>
              <xdr:cNvPr id="9246" name="Rectangle 9245">
                <a:extLst>
                  <a:ext uri="{FF2B5EF4-FFF2-40B4-BE49-F238E27FC236}">
                    <a16:creationId xmlns:a16="http://schemas.microsoft.com/office/drawing/2014/main" id="{2FA0E129-2B51-4714-9526-087AD80D6228}"/>
                  </a:ext>
                </a:extLst>
              </xdr:cNvPr>
              <xdr:cNvSpPr/>
            </xdr:nvSpPr>
            <xdr:spPr>
              <a:xfrm>
                <a:off x="6311902" y="50800"/>
                <a:ext cx="11125200" cy="4127501"/>
              </a:xfrm>
              <a:prstGeom prst="rect">
                <a:avLst/>
              </a:prstGeom>
              <a:solidFill>
                <a:schemeClr val="accent3">
                  <a:lumMod val="40000"/>
                  <a:lumOff val="60000"/>
                </a:schemeClr>
              </a:solidFill>
            </xdr:spPr>
            <xdr:style>
              <a:lnRef idx="2">
                <a:schemeClr val="accent6"/>
              </a:lnRef>
              <a:fillRef idx="1">
                <a:schemeClr val="lt1"/>
              </a:fillRef>
              <a:effectRef idx="0">
                <a:schemeClr val="accent6"/>
              </a:effectRef>
              <a:fontRef idx="minor">
                <a:schemeClr val="dk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9247" name="Rectangle 9246">
                <a:extLst>
                  <a:ext uri="{FF2B5EF4-FFF2-40B4-BE49-F238E27FC236}">
                    <a16:creationId xmlns:a16="http://schemas.microsoft.com/office/drawing/2014/main" id="{B1F97164-651D-903E-5CE6-DDE632B2B649}"/>
                  </a:ext>
                </a:extLst>
              </xdr:cNvPr>
              <xdr:cNvSpPr/>
            </xdr:nvSpPr>
            <xdr:spPr>
              <a:xfrm>
                <a:off x="6337953" y="63780"/>
                <a:ext cx="2732996" cy="4114521"/>
              </a:xfrm>
              <a:prstGeom prst="rect">
                <a:avLst/>
              </a:prstGeom>
              <a:solidFill>
                <a:schemeClr val="accent6"/>
              </a:solidFill>
              <a:ln>
                <a:solidFill>
                  <a:schemeClr val="accent6"/>
                </a:solidFill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sp macro="" textlink="[6]Données!E21">
          <xdr:nvSpPr>
            <xdr:cNvPr id="9241" name="ZoneTexte 9240">
              <a:extLst>
                <a:ext uri="{FF2B5EF4-FFF2-40B4-BE49-F238E27FC236}">
                  <a16:creationId xmlns:a16="http://schemas.microsoft.com/office/drawing/2014/main" id="{047D3D66-191F-2A34-9BBD-B2312FAF0DE3}"/>
                </a:ext>
              </a:extLst>
            </xdr:cNvPr>
            <xdr:cNvSpPr txBox="1"/>
          </xdr:nvSpPr>
          <xdr:spPr>
            <a:xfrm>
              <a:off x="3555934" y="1717459"/>
              <a:ext cx="1485899" cy="1146762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78F7F86F-5136-004D-8C40-10C138F17DA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Sucre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6]Données!E22">
          <xdr:nvSpPr>
            <xdr:cNvPr id="9242" name="ZoneTexte 9241">
              <a:extLst>
                <a:ext uri="{FF2B5EF4-FFF2-40B4-BE49-F238E27FC236}">
                  <a16:creationId xmlns:a16="http://schemas.microsoft.com/office/drawing/2014/main" id="{D3DA06A4-FC4E-76E4-7DC2-11336160F4E4}"/>
                </a:ext>
              </a:extLst>
            </xdr:cNvPr>
            <xdr:cNvSpPr txBox="1"/>
          </xdr:nvSpPr>
          <xdr:spPr>
            <a:xfrm>
              <a:off x="2578100" y="2108200"/>
              <a:ext cx="881439" cy="914400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3CF594CD-A78F-014F-8F73-DCBB0E1E8A72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Sel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sp macro="" textlink="[6]Données!E23">
          <xdr:nvSpPr>
            <xdr:cNvPr id="9243" name="ZoneTexte 9242">
              <a:extLst>
                <a:ext uri="{FF2B5EF4-FFF2-40B4-BE49-F238E27FC236}">
                  <a16:creationId xmlns:a16="http://schemas.microsoft.com/office/drawing/2014/main" id="{C21282C0-2B75-6A20-2F83-3796DC0C4B48}"/>
                </a:ext>
              </a:extLst>
            </xdr:cNvPr>
            <xdr:cNvSpPr txBox="1"/>
          </xdr:nvSpPr>
          <xdr:spPr>
            <a:xfrm>
              <a:off x="4622799" y="1905000"/>
              <a:ext cx="1422401" cy="1554578"/>
            </a:xfrm>
            <a:prstGeom prst="rect">
              <a:avLst/>
            </a:prstGeom>
            <a:solidFill>
              <a:schemeClr val="accent3">
                <a:lumMod val="40000"/>
                <a:lumOff val="60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00120F50-526D-E445-B57B-EE88BD68721D}" type="TxLink">
                <a:rPr lang="en-US" sz="2000" b="0" i="0" u="none" strike="noStrike">
                  <a:solidFill>
                    <a:srgbClr val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pPr/>
                <a:t>Matières grasses</a:t>
              </a:fld>
              <a:endParaRPr lang="fr-FR" sz="2000"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  <xdr:pic>
          <xdr:nvPicPr>
            <xdr:cNvPr id="9244" name="Image 9243">
              <a:extLst>
                <a:ext uri="{FF2B5EF4-FFF2-40B4-BE49-F238E27FC236}">
                  <a16:creationId xmlns:a16="http://schemas.microsoft.com/office/drawing/2014/main" id="{A61B316C-033A-84E7-0EFE-444B61F3A12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494661" y="1489908"/>
              <a:ext cx="3098800" cy="3653099"/>
            </a:xfrm>
            <a:prstGeom prst="rect">
              <a:avLst/>
            </a:prstGeom>
          </xdr:spPr>
        </xdr:pic>
        <xdr:sp macro="" textlink="">
          <xdr:nvSpPr>
            <xdr:cNvPr id="9245" name="ZoneTexte 9244">
              <a:extLst>
                <a:ext uri="{FF2B5EF4-FFF2-40B4-BE49-F238E27FC236}">
                  <a16:creationId xmlns:a16="http://schemas.microsoft.com/office/drawing/2014/main" id="{C85306F7-7763-BDC4-566C-D54CAA770CA7}"/>
                </a:ext>
              </a:extLst>
            </xdr:cNvPr>
            <xdr:cNvSpPr txBox="1"/>
          </xdr:nvSpPr>
          <xdr:spPr>
            <a:xfrm>
              <a:off x="1808108" y="262691"/>
              <a:ext cx="4323859" cy="132869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ctr"/>
              <a:r>
                <a:rPr lang="fr-FR" sz="150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Top 3</a:t>
              </a:r>
              <a:r>
                <a:rPr lang="fr-FR" sz="1500" baseline="0">
                  <a:solidFill>
                    <a:sysClr val="windowText" lastClr="000000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 des nutriments qui contribuent au score</a:t>
              </a:r>
              <a:endParaRPr lang="fr-FR" sz="1500">
                <a:solidFill>
                  <a:sysClr val="windowText" lastClr="000000"/>
                </a:solidFill>
                <a:latin typeface="Nordique Inline" panose="020F0502020204030204" pitchFamily="34" charset="0"/>
                <a:cs typeface="Nordique Inline" panose="020F0502020204030204" pitchFamily="34" charset="0"/>
              </a:endParaRPr>
            </a:p>
          </xdr:txBody>
        </xdr:sp>
      </xdr:grpSp>
      <xdr:sp macro="" textlink="">
        <xdr:nvSpPr>
          <xdr:cNvPr id="9239" name="ZoneTexte 9238">
            <a:extLst>
              <a:ext uri="{FF2B5EF4-FFF2-40B4-BE49-F238E27FC236}">
                <a16:creationId xmlns:a16="http://schemas.microsoft.com/office/drawing/2014/main" id="{26DF0C51-8813-60A2-963D-F53AFB02E23F}"/>
              </a:ext>
            </a:extLst>
          </xdr:cNvPr>
          <xdr:cNvSpPr txBox="1"/>
        </xdr:nvSpPr>
        <xdr:spPr>
          <a:xfrm>
            <a:off x="38100" y="5638800"/>
            <a:ext cx="1384300" cy="520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2000">
                <a:solidFill>
                  <a:schemeClr val="bg1"/>
                </a:solidFill>
              </a:rPr>
              <a:t>Classement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251460</xdr:colOff>
          <xdr:row>6</xdr:row>
          <xdr:rowOff>22860</xdr:rowOff>
        </xdr:from>
        <xdr:to>
          <xdr:col>13</xdr:col>
          <xdr:colOff>556260</xdr:colOff>
          <xdr:row>8</xdr:row>
          <xdr:rowOff>167640</xdr:rowOff>
        </xdr:to>
        <xdr:sp macro="" textlink="">
          <xdr:nvSpPr>
            <xdr:cNvPr id="9248" name="Drop Dow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A74C4A73-1E32-4437-9AC7-47EE86046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165100</xdr:colOff>
      <xdr:row>41</xdr:row>
      <xdr:rowOff>152400</xdr:rowOff>
    </xdr:from>
    <xdr:to>
      <xdr:col>5</xdr:col>
      <xdr:colOff>812800</xdr:colOff>
      <xdr:row>48</xdr:row>
      <xdr:rowOff>0</xdr:rowOff>
    </xdr:to>
    <xdr:grpSp>
      <xdr:nvGrpSpPr>
        <xdr:cNvPr id="9249" name="Groupe 9248">
          <a:extLst>
            <a:ext uri="{FF2B5EF4-FFF2-40B4-BE49-F238E27FC236}">
              <a16:creationId xmlns:a16="http://schemas.microsoft.com/office/drawing/2014/main" id="{60834E06-C8C7-4EF3-AEF9-B9F3DA5741E0}"/>
            </a:ext>
          </a:extLst>
        </xdr:cNvPr>
        <xdr:cNvGrpSpPr/>
      </xdr:nvGrpSpPr>
      <xdr:grpSpPr>
        <a:xfrm>
          <a:off x="165100" y="7536873"/>
          <a:ext cx="4734791" cy="1108363"/>
          <a:chOff x="152400" y="7353300"/>
          <a:chExt cx="4775200" cy="1270000"/>
        </a:xfrm>
      </xdr:grpSpPr>
      <xdr:sp macro="" textlink="">
        <xdr:nvSpPr>
          <xdr:cNvPr id="9250" name="Rectangle 9249">
            <a:extLst>
              <a:ext uri="{FF2B5EF4-FFF2-40B4-BE49-F238E27FC236}">
                <a16:creationId xmlns:a16="http://schemas.microsoft.com/office/drawing/2014/main" id="{988D2B51-77A8-1890-C4B7-84268E79CAE2}"/>
              </a:ext>
            </a:extLst>
          </xdr:cNvPr>
          <xdr:cNvSpPr/>
        </xdr:nvSpPr>
        <xdr:spPr>
          <a:xfrm>
            <a:off x="152400" y="7353300"/>
            <a:ext cx="4775200" cy="1270000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grpSp>
        <xdr:nvGrpSpPr>
          <xdr:cNvPr id="9251" name="Groupe 9250">
            <a:extLst>
              <a:ext uri="{FF2B5EF4-FFF2-40B4-BE49-F238E27FC236}">
                <a16:creationId xmlns:a16="http://schemas.microsoft.com/office/drawing/2014/main" id="{BBF04658-E6E7-F91D-E70F-AC8039C60806}"/>
              </a:ext>
            </a:extLst>
          </xdr:cNvPr>
          <xdr:cNvGrpSpPr/>
        </xdr:nvGrpSpPr>
        <xdr:grpSpPr>
          <a:xfrm>
            <a:off x="1219200" y="7505700"/>
            <a:ext cx="2540000" cy="981567"/>
            <a:chOff x="5981700" y="7073900"/>
            <a:chExt cx="3362580" cy="1260967"/>
          </a:xfrm>
        </xdr:grpSpPr>
        <xdr:sp macro="[0]!retour" textlink="">
          <xdr:nvSpPr>
            <xdr:cNvPr id="9252" name="Freeform 29">
              <a:extLst>
                <a:ext uri="{FF2B5EF4-FFF2-40B4-BE49-F238E27FC236}">
                  <a16:creationId xmlns:a16="http://schemas.microsoft.com/office/drawing/2014/main" id="{A7D44746-B73D-890A-259D-EA2A01B69623}"/>
                </a:ext>
              </a:extLst>
            </xdr:cNvPr>
            <xdr:cNvSpPr/>
          </xdr:nvSpPr>
          <xdr:spPr>
            <a:xfrm>
              <a:off x="5981700" y="7073900"/>
              <a:ext cx="3362580" cy="1260967"/>
            </a:xfrm>
            <a:custGeom>
              <a:avLst/>
              <a:gdLst/>
              <a:ahLst/>
              <a:cxnLst/>
              <a:rect l="l" t="t" r="r" b="b"/>
              <a:pathLst>
                <a:path w="3362580" h="1260967">
                  <a:moveTo>
                    <a:pt x="0" y="0"/>
                  </a:moveTo>
                  <a:lnTo>
                    <a:pt x="3362580" y="0"/>
                  </a:lnTo>
                  <a:lnTo>
                    <a:pt x="3362580" y="1260967"/>
                  </a:lnTo>
                  <a:lnTo>
                    <a:pt x="0" y="1260967"/>
                  </a:lnTo>
                  <a:lnTo>
                    <a:pt x="0" y="0"/>
                  </a:lnTo>
                  <a:close/>
                </a:path>
              </a:pathLst>
            </a:custGeom>
            <a:blipFill>
              <a:blip xmlns:r="http://schemas.openxmlformats.org/officeDocument/2006/relationships" r:embed="rId4">
                <a:extLst>
                  <a:ext uri="{96DAC541-7B7A-43D3-8B79-37D633B846F1}">
                    <asvg:svgBlip xmlns:asvg="http://schemas.microsoft.com/office/drawing/2016/SVG/main" r:embed="rId5"/>
                  </a:ext>
                </a:extLst>
              </a:blip>
              <a:stretch>
                <a:fillRect/>
              </a:stretch>
            </a:blipFill>
          </xdr:spPr>
          <xdr:txBody>
            <a:bodyPr wrap="square"/>
            <a:lstStyle/>
            <a:p>
              <a:endParaRPr lang="fr-FR"/>
            </a:p>
          </xdr:txBody>
        </xdr:sp>
        <xdr:sp macro="" textlink="">
          <xdr:nvSpPr>
            <xdr:cNvPr id="9253" name="TextBox 44">
              <a:extLst>
                <a:ext uri="{FF2B5EF4-FFF2-40B4-BE49-F238E27FC236}">
                  <a16:creationId xmlns:a16="http://schemas.microsoft.com/office/drawing/2014/main" id="{09E30A89-DF2A-00A1-602B-307966B22872}"/>
                </a:ext>
              </a:extLst>
            </xdr:cNvPr>
            <xdr:cNvSpPr txBox="1"/>
          </xdr:nvSpPr>
          <xdr:spPr>
            <a:xfrm>
              <a:off x="6451599" y="7251795"/>
              <a:ext cx="2432149" cy="694228"/>
            </a:xfrm>
            <a:prstGeom prst="rect">
              <a:avLst/>
            </a:prstGeom>
          </xdr:spPr>
          <xdr:txBody>
            <a:bodyPr wrap="square" lIns="0" tIns="0" rIns="0" bIns="0" rtlCol="0" anchor="t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>
                <a:lnSpc>
                  <a:spcPts val="4675"/>
                </a:lnSpc>
                <a:spcBef>
                  <a:spcPct val="0"/>
                </a:spcBef>
              </a:pPr>
              <a:r>
                <a:rPr lang="en-US" sz="2799" b="1">
                  <a:solidFill>
                    <a:srgbClr val="1F1347"/>
                  </a:solidFill>
                  <a:latin typeface="Nordique Inline" panose="020F0502020204030204" pitchFamily="34" charset="0"/>
                  <a:cs typeface="Nordique Inline" panose="020F0502020204030204" pitchFamily="34" charset="0"/>
                </a:rPr>
                <a:t>MENU</a:t>
              </a:r>
            </a:p>
          </xdr:txBody>
        </xdr:sp>
      </xdr:grpSp>
    </xdr:grpSp>
    <xdr:clientData/>
  </xdr:twoCellAnchor>
  <xdr:twoCellAnchor>
    <xdr:from>
      <xdr:col>0</xdr:col>
      <xdr:colOff>88900</xdr:colOff>
      <xdr:row>0</xdr:row>
      <xdr:rowOff>38100</xdr:rowOff>
    </xdr:from>
    <xdr:to>
      <xdr:col>14</xdr:col>
      <xdr:colOff>279400</xdr:colOff>
      <xdr:row>4</xdr:row>
      <xdr:rowOff>76200</xdr:rowOff>
    </xdr:to>
    <xdr:sp macro="" textlink="">
      <xdr:nvSpPr>
        <xdr:cNvPr id="9254" name="ZoneTexte 9253">
          <a:extLst>
            <a:ext uri="{FF2B5EF4-FFF2-40B4-BE49-F238E27FC236}">
              <a16:creationId xmlns:a16="http://schemas.microsoft.com/office/drawing/2014/main" id="{5DEC48D0-3476-444F-9535-66FF73DA3F45}"/>
            </a:ext>
          </a:extLst>
        </xdr:cNvPr>
        <xdr:cNvSpPr txBox="1"/>
      </xdr:nvSpPr>
      <xdr:spPr>
        <a:xfrm>
          <a:off x="88900" y="38100"/>
          <a:ext cx="11711940" cy="830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500" b="1" i="0" u="none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Vous êtes sur</a:t>
          </a:r>
          <a:r>
            <a:rPr lang="fr-FR" sz="2500" b="1" i="0" u="none" baseline="0">
              <a:solidFill>
                <a:schemeClr val="dk1"/>
              </a:solidFill>
              <a:effectLst/>
              <a:latin typeface="ADLaM Display" panose="02010000000000000000" pitchFamily="2" charset="77"/>
              <a:ea typeface="ADLaM Display" panose="02010000000000000000" pitchFamily="2" charset="77"/>
              <a:cs typeface="ADLaM Display" panose="02010000000000000000" pitchFamily="2" charset="77"/>
            </a:rPr>
            <a:t> le Dashboard pour les producteurs !</a:t>
          </a:r>
          <a:endParaRPr lang="fr-FR" sz="2500" b="1" i="0" u="none">
            <a:solidFill>
              <a:schemeClr val="dk1"/>
            </a:solidFill>
            <a:effectLst/>
            <a:latin typeface="ADLaM Display" panose="02010000000000000000" pitchFamily="2" charset="77"/>
            <a:ea typeface="ADLaM Display" panose="02010000000000000000" pitchFamily="2" charset="77"/>
            <a:cs typeface="ADLaM Display" panose="02010000000000000000" pitchFamily="2" charset="77"/>
          </a:endParaRPr>
        </a:p>
        <a:p>
          <a:endParaRPr lang="fr-FR" sz="1100"/>
        </a:p>
      </xdr:txBody>
    </xdr:sp>
    <xdr:clientData/>
  </xdr:twoCellAnchor>
  <xdr:twoCellAnchor editAs="oneCell">
    <xdr:from>
      <xdr:col>10</xdr:col>
      <xdr:colOff>435419</xdr:colOff>
      <xdr:row>31</xdr:row>
      <xdr:rowOff>64997</xdr:rowOff>
    </xdr:from>
    <xdr:to>
      <xdr:col>12</xdr:col>
      <xdr:colOff>394496</xdr:colOff>
      <xdr:row>44</xdr:row>
      <xdr:rowOff>1682</xdr:rowOff>
    </xdr:to>
    <xdr:pic>
      <xdr:nvPicPr>
        <xdr:cNvPr id="9255" name="Graphique 9254">
          <a:extLst>
            <a:ext uri="{FF2B5EF4-FFF2-40B4-BE49-F238E27FC236}">
              <a16:creationId xmlns:a16="http://schemas.microsoft.com/office/drawing/2014/main" id="{30263066-6A06-47CF-BBB1-8EAA667ED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3839293" flipV="1">
          <a:off x="8310455" y="6561281"/>
          <a:ext cx="2314125" cy="1604997"/>
        </a:xfrm>
        <a:prstGeom prst="rect">
          <a:avLst/>
        </a:prstGeom>
      </xdr:spPr>
    </xdr:pic>
    <xdr:clientData/>
  </xdr:twoCellAnchor>
  <xdr:twoCellAnchor editAs="oneCell">
    <xdr:from>
      <xdr:col>7</xdr:col>
      <xdr:colOff>152894</xdr:colOff>
      <xdr:row>31</xdr:row>
      <xdr:rowOff>139257</xdr:rowOff>
    </xdr:from>
    <xdr:to>
      <xdr:col>8</xdr:col>
      <xdr:colOff>800497</xdr:colOff>
      <xdr:row>44</xdr:row>
      <xdr:rowOff>76597</xdr:rowOff>
    </xdr:to>
    <xdr:pic>
      <xdr:nvPicPr>
        <xdr:cNvPr id="9256" name="Graphique 9255">
          <a:extLst>
            <a:ext uri="{FF2B5EF4-FFF2-40B4-BE49-F238E27FC236}">
              <a16:creationId xmlns:a16="http://schemas.microsoft.com/office/drawing/2014/main" id="{F4CC9F4D-AB97-4E28-90AB-CE3ACFE856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 rot="18793481">
          <a:off x="5491506" y="6703085"/>
          <a:ext cx="2314780" cy="1470563"/>
        </a:xfrm>
        <a:prstGeom prst="rect">
          <a:avLst/>
        </a:prstGeom>
      </xdr:spPr>
    </xdr:pic>
    <xdr:clientData/>
  </xdr:twoCellAnchor>
  <xdr:twoCellAnchor editAs="oneCell">
    <xdr:from>
      <xdr:col>0</xdr:col>
      <xdr:colOff>106404</xdr:colOff>
      <xdr:row>35</xdr:row>
      <xdr:rowOff>46442</xdr:rowOff>
    </xdr:from>
    <xdr:to>
      <xdr:col>1</xdr:col>
      <xdr:colOff>431787</xdr:colOff>
      <xdr:row>41</xdr:row>
      <xdr:rowOff>74645</xdr:rowOff>
    </xdr:to>
    <xdr:pic>
      <xdr:nvPicPr>
        <xdr:cNvPr id="9257" name="Graphique 9256">
          <a:extLst>
            <a:ext uri="{FF2B5EF4-FFF2-40B4-BE49-F238E27FC236}">
              <a16:creationId xmlns:a16="http://schemas.microsoft.com/office/drawing/2014/main" id="{E1792F6F-F6FF-4591-83A0-5BA0233A23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06404" y="6980642"/>
          <a:ext cx="1148343" cy="1125483"/>
        </a:xfrm>
        <a:prstGeom prst="rect">
          <a:avLst/>
        </a:prstGeom>
      </xdr:spPr>
    </xdr:pic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0.33406</cdr:x>
      <cdr:y>0.58124</cdr:y>
    </cdr:from>
    <cdr:to>
      <cdr:x>0.68668</cdr:x>
      <cdr:y>0.8325</cdr:y>
    </cdr:to>
    <cdr:sp macro="" textlink="">
      <cdr:nvSpPr>
        <cdr:cNvPr id="2" name="ZoneTexte 1">
          <a:extLst xmlns:a="http://schemas.openxmlformats.org/drawingml/2006/main">
            <a:ext uri="{FF2B5EF4-FFF2-40B4-BE49-F238E27FC236}">
              <a16:creationId xmlns:a16="http://schemas.microsoft.com/office/drawing/2014/main" id="{BD4DDC57-0135-674D-A3B6-96549F64D16D}"/>
            </a:ext>
          </a:extLst>
        </cdr:cNvPr>
        <cdr:cNvSpPr txBox="1"/>
      </cdr:nvSpPr>
      <cdr:spPr>
        <a:xfrm xmlns:a="http://schemas.openxmlformats.org/drawingml/2006/main">
          <a:off x="3108960" y="3525520"/>
          <a:ext cx="3281680" cy="152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0.06223</cdr:x>
      <cdr:y>0.61474</cdr:y>
    </cdr:from>
    <cdr:to>
      <cdr:x>0.91048</cdr:x>
      <cdr:y>0.95645</cdr:y>
    </cdr:to>
    <cdr:sp macro="" textlink="">
      <cdr:nvSpPr>
        <cdr:cNvPr id="3" name="ZoneTexte 2">
          <a:extLst xmlns:a="http://schemas.openxmlformats.org/drawingml/2006/main">
            <a:ext uri="{FF2B5EF4-FFF2-40B4-BE49-F238E27FC236}">
              <a16:creationId xmlns:a16="http://schemas.microsoft.com/office/drawing/2014/main" id="{C4994278-4710-1740-9238-26F6BF65A038}"/>
            </a:ext>
          </a:extLst>
        </cdr:cNvPr>
        <cdr:cNvSpPr txBox="1"/>
      </cdr:nvSpPr>
      <cdr:spPr>
        <a:xfrm xmlns:a="http://schemas.openxmlformats.org/drawingml/2006/main">
          <a:off x="579120" y="3728720"/>
          <a:ext cx="7894320" cy="2072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100"/>
        </a:p>
      </cdr:txBody>
    </cdr:sp>
  </cdr:relSizeAnchor>
  <cdr:relSizeAnchor xmlns:cdr="http://schemas.openxmlformats.org/drawingml/2006/chartDrawing">
    <cdr:from>
      <cdr:x>0</cdr:x>
      <cdr:y>0.60249</cdr:y>
    </cdr:from>
    <cdr:to>
      <cdr:x>0.38542</cdr:x>
      <cdr:y>0.85542</cdr:y>
    </cdr:to>
    <cdr:sp macro="" textlink="">
      <cdr:nvSpPr>
        <cdr:cNvPr id="4" name="ZoneTexte 3">
          <a:extLst xmlns:a="http://schemas.openxmlformats.org/drawingml/2006/main">
            <a:ext uri="{FF2B5EF4-FFF2-40B4-BE49-F238E27FC236}">
              <a16:creationId xmlns:a16="http://schemas.microsoft.com/office/drawing/2014/main" id="{274B0D3D-8CF0-5442-BE46-A72D62F92296}"/>
            </a:ext>
          </a:extLst>
        </cdr:cNvPr>
        <cdr:cNvSpPr txBox="1"/>
      </cdr:nvSpPr>
      <cdr:spPr>
        <a:xfrm xmlns:a="http://schemas.openxmlformats.org/drawingml/2006/main">
          <a:off x="0" y="2165399"/>
          <a:ext cx="3641756" cy="9090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fr-FR" sz="2600">
              <a:solidFill>
                <a:schemeClr val="tx1"/>
              </a:solidFill>
              <a:latin typeface="Nordique Inline" panose="020F0502020204030204" pitchFamily="34" charset="0"/>
              <a:cs typeface="Nordique Inline" panose="020F0502020204030204" pitchFamily="34" charset="0"/>
            </a:rPr>
            <a:t>Nutri-score : </a:t>
          </a:r>
        </a:p>
      </cdr:txBody>
    </cdr:sp>
  </cdr:relSizeAnchor>
  <cdr:relSizeAnchor xmlns:cdr="http://schemas.openxmlformats.org/drawingml/2006/chartDrawing">
    <cdr:from>
      <cdr:x>0.3854</cdr:x>
      <cdr:y>0.61272</cdr:y>
    </cdr:from>
    <cdr:to>
      <cdr:x>0.50222</cdr:x>
      <cdr:y>0.76683</cdr:y>
    </cdr:to>
    <cdr:sp macro="" textlink="Traitement!$D$2">
      <cdr:nvSpPr>
        <cdr:cNvPr id="5" name="ZoneTexte 4">
          <a:extLst xmlns:a="http://schemas.openxmlformats.org/drawingml/2006/main">
            <a:ext uri="{FF2B5EF4-FFF2-40B4-BE49-F238E27FC236}">
              <a16:creationId xmlns:a16="http://schemas.microsoft.com/office/drawing/2014/main" id="{D1DBBE20-04D0-3845-B0B6-BF0D84042E76}"/>
            </a:ext>
          </a:extLst>
        </cdr:cNvPr>
        <cdr:cNvSpPr txBox="1"/>
      </cdr:nvSpPr>
      <cdr:spPr>
        <a:xfrm xmlns:a="http://schemas.openxmlformats.org/drawingml/2006/main">
          <a:off x="3641525" y="2202180"/>
          <a:ext cx="1103809" cy="55388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E4DCC7E1-47D2-4F46-BB0B-1EF67D27CF40}" type="TxLink">
            <a:rPr lang="en-US" sz="2600" b="0" i="0" u="none" strike="noStrike">
              <a:solidFill>
                <a:srgbClr val="000000"/>
              </a:solidFill>
              <a:latin typeface="Nordique Inline" panose="00000500000000000000" pitchFamily="2" charset="0"/>
              <a:ea typeface="Calibri"/>
              <a:cs typeface="Calibri"/>
            </a:rPr>
            <a:t>B</a:t>
          </a:fld>
          <a:endParaRPr lang="fr-FR" sz="2600">
            <a:solidFill>
              <a:srgbClr val="002060"/>
            </a:solidFill>
            <a:latin typeface="Nordique Inline" panose="00000500000000000000" pitchFamily="2" charset="0"/>
            <a:cs typeface="Nordique Inline" panose="020F0502020204030204" pitchFamily="34" charset="0"/>
          </a:endParaRPr>
        </a:p>
      </cdr:txBody>
    </cdr:sp>
  </cdr:relSizeAnchor>
  <cdr:relSizeAnchor xmlns:cdr="http://schemas.openxmlformats.org/drawingml/2006/chartDrawing">
    <cdr:from>
      <cdr:x>0.30349</cdr:x>
      <cdr:y>0.0067</cdr:y>
    </cdr:from>
    <cdr:to>
      <cdr:x>0.86135</cdr:x>
      <cdr:y>0.06365</cdr:y>
    </cdr:to>
    <cdr:sp macro="" textlink="">
      <cdr:nvSpPr>
        <cdr:cNvPr id="6" name="ZoneTexte 5">
          <a:extLst xmlns:a="http://schemas.openxmlformats.org/drawingml/2006/main">
            <a:ext uri="{FF2B5EF4-FFF2-40B4-BE49-F238E27FC236}">
              <a16:creationId xmlns:a16="http://schemas.microsoft.com/office/drawing/2014/main" id="{08CD172B-AB4A-D549-BB28-CCE703455F83}"/>
            </a:ext>
          </a:extLst>
        </cdr:cNvPr>
        <cdr:cNvSpPr txBox="1"/>
      </cdr:nvSpPr>
      <cdr:spPr>
        <a:xfrm xmlns:a="http://schemas.openxmlformats.org/drawingml/2006/main">
          <a:off x="2824480" y="40640"/>
          <a:ext cx="5191760" cy="3454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fr-FR" sz="15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5</xdr:row>
          <xdr:rowOff>175260</xdr:rowOff>
        </xdr:from>
        <xdr:to>
          <xdr:col>13</xdr:col>
          <xdr:colOff>213360</xdr:colOff>
          <xdr:row>10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784860</xdr:colOff>
          <xdr:row>1</xdr:row>
          <xdr:rowOff>0</xdr:rowOff>
        </xdr:from>
        <xdr:to>
          <xdr:col>12</xdr:col>
          <xdr:colOff>525780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fr-FR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Retour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jauge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jauge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cuments\UFR\MASTER_SEP\Semestre_3\SEP0953%23Gestion_de_projet\Projet_digital\test_formulaire4.xlsm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test_formulaire4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Donn&#233;es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.xlsm" TargetMode="External"/><Relationship Id="rId1" Type="http://schemas.openxmlformats.org/officeDocument/2006/relationships/externalLinkPath" Target="/Users/33662/Downloads/dashboard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Relationship Id="rId1" Type="http://schemas.openxmlformats.org/officeDocument/2006/relationships/externalLinkPath" Target="https://univreimsfr-my.sharepoint.com/personal/carlos-edson-brumale_kpadonou_etudiant_univ-reims_fr/Documents/Documents/M2%20SEP/Projet_digital_pers/Projet_digital/user_interface/V1_dashboard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33662\Downloads\dashboard%20(1).xlsm" TargetMode="External"/><Relationship Id="rId1" Type="http://schemas.openxmlformats.org/officeDocument/2006/relationships/externalLinkPath" Target="/Users/33662/Downloads/dashboard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storique_calcul_nutri-score"/>
      <sheetName val="Lien_Réponse_Diagramme"/>
      <sheetName val="test_formulaire4"/>
    </sheetNames>
    <sheetDataSet>
      <sheetData sheetId="0"/>
      <sheetData sheetId="1">
        <row r="8">
          <cell r="B8">
            <v>30</v>
          </cell>
        </row>
        <row r="9">
          <cell r="B9">
            <v>1.5</v>
          </cell>
        </row>
        <row r="10">
          <cell r="B10">
            <v>168.5</v>
          </cell>
        </row>
      </sheetData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onnées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"/>
      <sheetName val="Données"/>
    </sheetNames>
    <sheetDataSet>
      <sheetData sheetId="0"/>
      <sheetData sheetId="1"/>
      <sheetData sheetId="2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90</v>
          </cell>
        </row>
        <row r="9">
          <cell r="B9">
            <v>1.5</v>
          </cell>
        </row>
        <row r="10">
          <cell r="B10">
            <v>108.5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0.8</v>
          </cell>
          <cell r="B14">
            <v>0.1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Jauge"/>
      <sheetName val="Feuil1"/>
    </sheetNames>
    <sheetDataSet>
      <sheetData sheetId="0" refreshError="1"/>
      <sheetData sheetId="1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enu"/>
      <sheetName val="Dashboard Consommateur"/>
      <sheetName val="Dashboard Producteur"/>
      <sheetName val="Données"/>
    </sheetNames>
    <sheetDataSet>
      <sheetData sheetId="0"/>
      <sheetData sheetId="1"/>
      <sheetData sheetId="2"/>
      <sheetData sheetId="3">
        <row r="1">
          <cell r="B1">
            <v>20</v>
          </cell>
        </row>
        <row r="2">
          <cell r="B2">
            <v>20</v>
          </cell>
        </row>
        <row r="3">
          <cell r="B3">
            <v>20</v>
          </cell>
        </row>
        <row r="4">
          <cell r="B4">
            <v>20</v>
          </cell>
        </row>
        <row r="5">
          <cell r="B5">
            <v>20</v>
          </cell>
        </row>
        <row r="6">
          <cell r="B6">
            <v>100</v>
          </cell>
        </row>
        <row r="8">
          <cell r="B8">
            <v>70</v>
          </cell>
        </row>
        <row r="9">
          <cell r="B9">
            <v>1.5</v>
          </cell>
        </row>
        <row r="10">
          <cell r="B10">
            <v>128.5</v>
          </cell>
        </row>
        <row r="13">
          <cell r="A13" t="str">
            <v>E</v>
          </cell>
          <cell r="B13" t="str">
            <v>D</v>
          </cell>
          <cell r="C13" t="str">
            <v>C</v>
          </cell>
          <cell r="D13" t="str">
            <v>B</v>
          </cell>
          <cell r="E13" t="str">
            <v>A</v>
          </cell>
        </row>
        <row r="14">
          <cell r="A14">
            <v>0.9</v>
          </cell>
          <cell r="B14">
            <v>0.95</v>
          </cell>
          <cell r="C14">
            <v>0.1</v>
          </cell>
          <cell r="D14">
            <v>0</v>
          </cell>
          <cell r="E14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67DDC-A081-4E2C-9EE5-C5EA99FA7FF3}">
  <sheetPr codeName="Feuil2"/>
  <dimension ref="A1"/>
  <sheetViews>
    <sheetView workbookViewId="0">
      <selection activeCell="L17" sqref="L17"/>
    </sheetView>
  </sheetViews>
  <sheetFormatPr baseColWidth="10" defaultRowHeight="14.4" x14ac:dyDescent="0.3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Historique_consommateur" altText="Mon Historique">
                <anchor moveWithCells="1">
                  <from>
                    <xdr:col>8</xdr:col>
                    <xdr:colOff>0</xdr:colOff>
                    <xdr:row>1</xdr:row>
                    <xdr:rowOff>7620</xdr:rowOff>
                  </from>
                  <to>
                    <xdr:col>11</xdr:col>
                    <xdr:colOff>22860</xdr:colOff>
                    <xdr:row>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Historique_producteur" altText="Mon Historique">
                <anchor moveWithCells="1">
                  <from>
                    <xdr:col>7</xdr:col>
                    <xdr:colOff>784860</xdr:colOff>
                    <xdr:row>7</xdr:row>
                    <xdr:rowOff>22860</xdr:rowOff>
                  </from>
                  <to>
                    <xdr:col>11</xdr:col>
                    <xdr:colOff>7620</xdr:colOff>
                    <xdr:row>11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1B8CD-CC4F-4B5F-8C12-5CC746120F4D}">
  <sheetPr codeName="Feuil6"/>
  <dimension ref="A29:A30"/>
  <sheetViews>
    <sheetView tabSelected="1" topLeftCell="A10" zoomScale="70" zoomScaleNormal="70" workbookViewId="0">
      <selection activeCell="T25" sqref="T25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6" r:id="rId3" name="Drop Down 3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D1356-9BFD-4147-8F66-C4EE3CA9409D}">
  <sheetPr codeName="Feuil8"/>
  <dimension ref="A29:A30"/>
  <sheetViews>
    <sheetView zoomScale="55" zoomScaleNormal="55" workbookViewId="0">
      <selection activeCell="S25" sqref="S25"/>
    </sheetView>
  </sheetViews>
  <sheetFormatPr baseColWidth="10" defaultColWidth="12" defaultRowHeight="14.4" x14ac:dyDescent="0.3"/>
  <cols>
    <col min="1" max="16384" width="12" style="7"/>
  </cols>
  <sheetData>
    <row r="29" s="7" customFormat="1" x14ac:dyDescent="0.3"/>
    <row r="30" s="7" customFormat="1" x14ac:dyDescent="0.3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48" r:id="rId3" name="Drop Down 2">
              <controlPr defaultSize="0" autoLine="0" autoPict="0">
                <anchor moveWithCells="1">
                  <from>
                    <xdr:col>8</xdr:col>
                    <xdr:colOff>251460</xdr:colOff>
                    <xdr:row>6</xdr:row>
                    <xdr:rowOff>22860</xdr:rowOff>
                  </from>
                  <to>
                    <xdr:col>13</xdr:col>
                    <xdr:colOff>556260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B5362-9A1B-41EB-B6A2-08D2C414AE47}">
  <sheetPr codeName="Feuil7"/>
  <dimension ref="A1:H25"/>
  <sheetViews>
    <sheetView workbookViewId="0">
      <selection activeCell="B9" sqref="B9"/>
    </sheetView>
  </sheetViews>
  <sheetFormatPr baseColWidth="10" defaultRowHeight="14.4" x14ac:dyDescent="0.3"/>
  <cols>
    <col min="1" max="1" width="15.33203125" style="3" customWidth="1"/>
    <col min="2" max="2" width="14.109375" style="3" customWidth="1"/>
    <col min="3" max="4" width="11.5546875" style="3"/>
    <col min="5" max="5" width="21.33203125" style="3" customWidth="1"/>
    <col min="6" max="6" width="18.5546875" style="3" customWidth="1"/>
    <col min="7" max="16384" width="11.5546875" style="3"/>
  </cols>
  <sheetData>
    <row r="1" spans="1:8" x14ac:dyDescent="0.3">
      <c r="A1" s="3" t="s">
        <v>11</v>
      </c>
      <c r="B1" s="18">
        <v>20</v>
      </c>
      <c r="D1" s="19" t="s">
        <v>12</v>
      </c>
    </row>
    <row r="2" spans="1:8" x14ac:dyDescent="0.3">
      <c r="A2" s="3" t="s">
        <v>13</v>
      </c>
      <c r="B2" s="18">
        <v>20</v>
      </c>
      <c r="D2" s="20" t="str">
        <f>INDEX(A13:E14,1,MATCH(MAX(A14:E14),A14:E14,0))</f>
        <v>B</v>
      </c>
    </row>
    <row r="3" spans="1:8" x14ac:dyDescent="0.3">
      <c r="A3" s="3" t="s">
        <v>14</v>
      </c>
      <c r="B3" s="18">
        <v>20</v>
      </c>
      <c r="D3" s="20">
        <f>MAX(A14:E14)</f>
        <v>0.59867424242424205</v>
      </c>
    </row>
    <row r="4" spans="1:8" x14ac:dyDescent="0.3">
      <c r="A4" s="3" t="s">
        <v>15</v>
      </c>
      <c r="B4" s="18">
        <v>20</v>
      </c>
    </row>
    <row r="5" spans="1:8" x14ac:dyDescent="0.3">
      <c r="A5" s="3" t="s">
        <v>16</v>
      </c>
      <c r="B5" s="18">
        <v>20</v>
      </c>
    </row>
    <row r="6" spans="1:8" x14ac:dyDescent="0.3">
      <c r="A6" s="3" t="s">
        <v>17</v>
      </c>
      <c r="B6" s="18">
        <v>100</v>
      </c>
    </row>
    <row r="7" spans="1:8" x14ac:dyDescent="0.3">
      <c r="B7" s="18"/>
    </row>
    <row r="8" spans="1:8" x14ac:dyDescent="0.3">
      <c r="A8" s="3" t="s">
        <v>18</v>
      </c>
      <c r="B8" s="18">
        <f>IF(D2="A",10,IF(D2="B",30,IF(D2="C",50,IF(D2="D",70,IF(D2="E",90)))))</f>
        <v>30</v>
      </c>
    </row>
    <row r="9" spans="1:8" ht="17.399999999999999" x14ac:dyDescent="0.35">
      <c r="A9" s="3" t="s">
        <v>19</v>
      </c>
      <c r="B9" s="18">
        <v>1.5</v>
      </c>
      <c r="F9" s="21"/>
    </row>
    <row r="10" spans="1:8" x14ac:dyDescent="0.3">
      <c r="A10" s="22" t="s">
        <v>20</v>
      </c>
      <c r="B10" s="23">
        <f>200-B8-B9</f>
        <v>168.5</v>
      </c>
    </row>
    <row r="13" spans="1:8" x14ac:dyDescent="0.3">
      <c r="A13" s="24" t="s">
        <v>16</v>
      </c>
      <c r="B13" s="24" t="s">
        <v>15</v>
      </c>
      <c r="C13" s="24" t="s">
        <v>14</v>
      </c>
      <c r="D13" s="24" t="s">
        <v>13</v>
      </c>
      <c r="E13" s="24" t="s">
        <v>11</v>
      </c>
    </row>
    <row r="14" spans="1:8" x14ac:dyDescent="0.3">
      <c r="A14" s="25">
        <v>0</v>
      </c>
      <c r="B14" s="25">
        <v>0</v>
      </c>
      <c r="C14" s="25">
        <v>0.246590909090909</v>
      </c>
      <c r="D14" s="25">
        <v>0.59867424242424205</v>
      </c>
      <c r="E14" s="25">
        <v>0.154734848484848</v>
      </c>
    </row>
    <row r="15" spans="1:8" ht="15" thickBot="1" x14ac:dyDescent="0.35"/>
    <row r="16" spans="1:8" x14ac:dyDescent="0.3">
      <c r="A16" s="8" t="s">
        <v>34</v>
      </c>
      <c r="B16" s="9"/>
      <c r="C16" s="9"/>
      <c r="D16" s="9"/>
      <c r="E16" s="9"/>
      <c r="F16" s="9"/>
      <c r="G16" s="9"/>
      <c r="H16" s="10"/>
    </row>
    <row r="17" spans="1:8" ht="15" thickBot="1" x14ac:dyDescent="0.35">
      <c r="A17" s="11" t="str">
        <f>IF(D2="A","Bravo ! Ce produit est excellent pour votre santé.",IF(D2="B"," Bon choix ! C'est une option raisonnable pour votre santé.",IF(D2="C"," C'est correct, mais il y a de meilleures options pour votre santé.",IF(D2="D"," Soyez vigilant ! Ce produit est à consommer avec modération.",IF(D2="E","Attention, ce produit a une faible qualité nutritionnelle. À consommer occasionellement.")))))</f>
        <v xml:space="preserve"> Bon choix ! C'est une option raisonnable pour votre santé.</v>
      </c>
      <c r="B17" s="12"/>
      <c r="C17" s="12"/>
      <c r="D17" s="12"/>
      <c r="E17" s="12"/>
      <c r="F17" s="12"/>
      <c r="G17" s="12"/>
      <c r="H17" s="13"/>
    </row>
    <row r="18" spans="1:8" x14ac:dyDescent="0.3">
      <c r="A18" s="14" t="s">
        <v>35</v>
      </c>
      <c r="B18" s="15"/>
      <c r="C18" s="15"/>
      <c r="D18" s="15"/>
      <c r="E18" s="15"/>
      <c r="F18" s="15"/>
      <c r="G18" s="15"/>
      <c r="H18" s="16"/>
    </row>
    <row r="19" spans="1:8" ht="15" thickBot="1" x14ac:dyDescent="0.35">
      <c r="A19" s="11" t="str">
        <f>IF(D2="A","Avec votre produit noté A, vous répondez aux attentes croissantes des consommateurs pour des aliments sains et équilibrés.",IF(D2="B"," Votre produit offre une bonne qualité nutritionnelle. Cela plaira à vos clients.",IF(D2="C","Votre produit montre des aspects positifs tout en laissant place à des améliorations.",IF(D2="D"," Votre produit présente des aspects à repenser pour améliorer sa qualité nutritionnelle.",IF(D2="E","Il est crucial d'envisager des changements pour mieux répondre aux attentes des consommateurs")))))</f>
        <v xml:space="preserve"> Votre produit offre une bonne qualité nutritionnelle. Cela plaira à vos clients.</v>
      </c>
      <c r="B19" s="12"/>
      <c r="C19" s="12"/>
      <c r="D19" s="12"/>
      <c r="E19" s="12"/>
      <c r="F19" s="17"/>
      <c r="G19" s="12"/>
      <c r="H19" s="13"/>
    </row>
    <row r="22" spans="1:8" x14ac:dyDescent="0.3">
      <c r="E22" s="26" t="s">
        <v>36</v>
      </c>
      <c r="F22" s="27" t="s">
        <v>37</v>
      </c>
    </row>
    <row r="23" spans="1:8" x14ac:dyDescent="0.3">
      <c r="E23" s="28" t="s">
        <v>1</v>
      </c>
      <c r="F23" s="29" t="s">
        <v>38</v>
      </c>
    </row>
    <row r="24" spans="1:8" x14ac:dyDescent="0.3">
      <c r="E24" s="28" t="s">
        <v>2</v>
      </c>
      <c r="F24" s="29"/>
    </row>
    <row r="25" spans="1:8" x14ac:dyDescent="0.3">
      <c r="E25" s="28" t="s">
        <v>4</v>
      </c>
      <c r="F25" s="29"/>
    </row>
  </sheetData>
  <mergeCells count="4">
    <mergeCell ref="A16:H16"/>
    <mergeCell ref="A17:H17"/>
    <mergeCell ref="A18:H18"/>
    <mergeCell ref="A19:H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O7"/>
  <sheetViews>
    <sheetView workbookViewId="0">
      <selection activeCell="C7" sqref="C7"/>
    </sheetView>
  </sheetViews>
  <sheetFormatPr baseColWidth="10" defaultColWidth="11.5546875" defaultRowHeight="14.4" x14ac:dyDescent="0.3"/>
  <cols>
    <col min="1" max="1" width="15" style="3" bestFit="1" customWidth="1"/>
    <col min="2" max="2" width="8" style="6" bestFit="1" customWidth="1"/>
    <col min="3" max="3" width="15.6640625" style="6" bestFit="1" customWidth="1"/>
    <col min="4" max="4" width="21.6640625" style="6" bestFit="1" customWidth="1"/>
    <col min="5" max="5" width="26.6640625" style="6" bestFit="1" customWidth="1"/>
    <col min="6" max="6" width="11" style="6" bestFit="1" customWidth="1"/>
    <col min="7" max="7" width="6.109375" style="6" bestFit="1" customWidth="1"/>
    <col min="8" max="8" width="8.5546875" style="6" bestFit="1" customWidth="1"/>
    <col min="9" max="9" width="6.5546875" style="6" bestFit="1" customWidth="1"/>
    <col min="10" max="10" width="10.6640625" style="6" bestFit="1" customWidth="1"/>
    <col min="11" max="11" width="10.44140625" style="6" bestFit="1" customWidth="1"/>
    <col min="12" max="12" width="8.109375" style="6" bestFit="1" customWidth="1"/>
    <col min="13" max="13" width="7.88671875" style="3" bestFit="1" customWidth="1"/>
    <col min="14" max="14" width="4.33203125" style="3" bestFit="1" customWidth="1"/>
    <col min="15" max="15" width="18.33203125" style="3" bestFit="1" customWidth="1"/>
    <col min="16" max="16384" width="11.5546875" style="3"/>
  </cols>
  <sheetData>
    <row r="1" spans="1:15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21</v>
      </c>
      <c r="F1" s="5" t="s">
        <v>6</v>
      </c>
      <c r="G1" s="5" t="s">
        <v>1</v>
      </c>
      <c r="H1" s="5" t="s">
        <v>25</v>
      </c>
      <c r="I1" s="5" t="s">
        <v>7</v>
      </c>
      <c r="J1" s="5" t="s">
        <v>24</v>
      </c>
      <c r="K1" s="5" t="s">
        <v>8</v>
      </c>
      <c r="L1" s="5" t="s">
        <v>23</v>
      </c>
      <c r="M1" s="2" t="s">
        <v>22</v>
      </c>
      <c r="N1" s="2" t="s">
        <v>9</v>
      </c>
      <c r="O1" s="2" t="s">
        <v>10</v>
      </c>
    </row>
    <row r="2" spans="1:15" ht="15" thickTop="1" x14ac:dyDescent="0.3">
      <c r="A2" s="3" t="s">
        <v>30</v>
      </c>
      <c r="B2" s="6">
        <v>1.1000000000000001</v>
      </c>
      <c r="C2" s="6">
        <v>2</v>
      </c>
      <c r="D2" s="6">
        <v>2</v>
      </c>
      <c r="E2" s="6">
        <v>3</v>
      </c>
      <c r="F2" s="6">
        <v>4</v>
      </c>
      <c r="G2" s="6">
        <v>2</v>
      </c>
      <c r="H2" s="6">
        <v>2</v>
      </c>
      <c r="I2" s="6">
        <v>5</v>
      </c>
      <c r="J2" s="6">
        <v>8</v>
      </c>
      <c r="K2" s="6">
        <v>6</v>
      </c>
      <c r="L2" s="6">
        <v>12</v>
      </c>
      <c r="M2" s="3">
        <v>9</v>
      </c>
      <c r="N2" s="3">
        <v>11</v>
      </c>
    </row>
    <row r="3" spans="1:15" x14ac:dyDescent="0.3">
      <c r="A3" s="3" t="s">
        <v>30</v>
      </c>
      <c r="B3" s="6">
        <v>1.1000000000000001</v>
      </c>
      <c r="C3" s="6">
        <v>2</v>
      </c>
      <c r="D3" s="6">
        <v>2</v>
      </c>
      <c r="E3" s="6">
        <v>3</v>
      </c>
      <c r="F3" s="6">
        <v>4</v>
      </c>
      <c r="G3" s="6">
        <v>2</v>
      </c>
      <c r="H3" s="6">
        <v>2</v>
      </c>
      <c r="I3" s="6">
        <v>5</v>
      </c>
      <c r="J3" s="6">
        <v>8</v>
      </c>
      <c r="K3" s="6">
        <v>6</v>
      </c>
      <c r="L3" s="6">
        <v>12</v>
      </c>
      <c r="M3" s="3">
        <v>9</v>
      </c>
      <c r="N3" s="3">
        <v>11</v>
      </c>
    </row>
    <row r="4" spans="1:15" x14ac:dyDescent="0.3">
      <c r="A4" s="3" t="s">
        <v>31</v>
      </c>
      <c r="B4" s="6">
        <v>1.1000000000000001</v>
      </c>
      <c r="C4" s="6">
        <v>2</v>
      </c>
      <c r="D4" s="6">
        <v>3</v>
      </c>
      <c r="E4" s="6">
        <v>6</v>
      </c>
      <c r="F4" s="6">
        <v>7</v>
      </c>
      <c r="G4" s="6">
        <v>4</v>
      </c>
      <c r="H4" s="6">
        <v>5</v>
      </c>
      <c r="I4" s="6">
        <v>8</v>
      </c>
      <c r="J4" s="6">
        <v>2</v>
      </c>
      <c r="K4" s="6">
        <v>9</v>
      </c>
      <c r="L4" s="6">
        <v>6</v>
      </c>
      <c r="M4" s="3">
        <v>2</v>
      </c>
      <c r="N4" s="3">
        <v>2</v>
      </c>
    </row>
    <row r="5" spans="1:15" x14ac:dyDescent="0.3">
      <c r="A5" s="3" t="s">
        <v>32</v>
      </c>
      <c r="B5" s="6">
        <v>1</v>
      </c>
      <c r="C5" s="6">
        <v>1</v>
      </c>
      <c r="D5" s="6">
        <v>1</v>
      </c>
      <c r="E5" s="6">
        <v>1</v>
      </c>
      <c r="F5" s="6">
        <v>1</v>
      </c>
      <c r="G5" s="6">
        <v>1</v>
      </c>
      <c r="H5" s="6">
        <v>1</v>
      </c>
      <c r="I5" s="6">
        <v>1</v>
      </c>
      <c r="J5" s="6">
        <v>1</v>
      </c>
      <c r="K5" s="6">
        <v>1</v>
      </c>
      <c r="L5" s="6">
        <v>10</v>
      </c>
      <c r="M5" s="3">
        <v>1</v>
      </c>
      <c r="N5" s="3">
        <v>1</v>
      </c>
    </row>
    <row r="6" spans="1:15" x14ac:dyDescent="0.3">
      <c r="A6" s="3" t="s">
        <v>40</v>
      </c>
      <c r="B6" s="6">
        <v>1</v>
      </c>
      <c r="C6" s="6">
        <v>2</v>
      </c>
      <c r="D6" s="6">
        <v>2</v>
      </c>
      <c r="E6" s="6">
        <v>3</v>
      </c>
      <c r="F6" s="6">
        <v>5</v>
      </c>
      <c r="G6" s="6">
        <v>2</v>
      </c>
      <c r="H6" s="6">
        <v>22</v>
      </c>
      <c r="I6" s="6">
        <v>5</v>
      </c>
      <c r="J6" s="6">
        <v>5</v>
      </c>
      <c r="K6" s="6">
        <v>66</v>
      </c>
      <c r="L6" s="6">
        <v>55</v>
      </c>
      <c r="M6" s="3">
        <v>65</v>
      </c>
      <c r="N6" s="3">
        <v>9</v>
      </c>
      <c r="O6" s="3" t="e">
        <v>#N/A</v>
      </c>
    </row>
    <row r="7" spans="1:15" x14ac:dyDescent="0.3">
      <c r="A7" s="3" t="s">
        <v>41</v>
      </c>
      <c r="B7" s="6">
        <v>1</v>
      </c>
      <c r="C7" s="6">
        <v>1</v>
      </c>
      <c r="D7" s="6">
        <v>1</v>
      </c>
      <c r="E7" s="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3">
        <v>1</v>
      </c>
      <c r="N7" s="3">
        <v>1</v>
      </c>
      <c r="O7" s="3" t="e">
        <v>#N/A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our">
                <anchor moveWithCells="1">
                  <from>
                    <xdr:col>9</xdr:col>
                    <xdr:colOff>647700</xdr:colOff>
                    <xdr:row>5</xdr:row>
                    <xdr:rowOff>175260</xdr:rowOff>
                  </from>
                  <to>
                    <xdr:col>13</xdr:col>
                    <xdr:colOff>213360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AE6020-E85C-45BA-A016-243299CF82CC}">
  <sheetPr codeName="Feuil5"/>
  <dimension ref="A1:I12"/>
  <sheetViews>
    <sheetView zoomScale="70" zoomScaleNormal="70" workbookViewId="0">
      <selection activeCell="J12" sqref="J12"/>
    </sheetView>
  </sheetViews>
  <sheetFormatPr baseColWidth="10" defaultColWidth="11.5546875" defaultRowHeight="14.4" x14ac:dyDescent="0.3"/>
  <cols>
    <col min="1" max="1" width="15.109375" style="3" customWidth="1"/>
    <col min="2" max="2" width="11.5546875" style="6"/>
    <col min="3" max="3" width="19.33203125" style="6" customWidth="1"/>
    <col min="4" max="4" width="25" style="6" customWidth="1"/>
    <col min="5" max="8" width="11.5546875" style="6"/>
    <col min="9" max="9" width="19.33203125" style="3" customWidth="1"/>
    <col min="10" max="16384" width="11.5546875" style="3"/>
  </cols>
  <sheetData>
    <row r="1" spans="1:9" ht="15.6" thickTop="1" thickBot="1" x14ac:dyDescent="0.35">
      <c r="A1" s="1" t="s">
        <v>0</v>
      </c>
      <c r="B1" s="4" t="s">
        <v>3</v>
      </c>
      <c r="C1" s="4" t="s">
        <v>4</v>
      </c>
      <c r="D1" s="4" t="s">
        <v>5</v>
      </c>
      <c r="E1" s="5" t="s">
        <v>1</v>
      </c>
      <c r="F1" s="5" t="s">
        <v>25</v>
      </c>
      <c r="G1" s="5" t="s">
        <v>2</v>
      </c>
      <c r="H1" s="5" t="s">
        <v>28</v>
      </c>
      <c r="I1" s="2" t="s">
        <v>10</v>
      </c>
    </row>
    <row r="2" spans="1:9" ht="15" thickTop="1" x14ac:dyDescent="0.3">
      <c r="A2" s="3" t="s">
        <v>26</v>
      </c>
      <c r="B2" s="6">
        <v>1.1000000000000001</v>
      </c>
      <c r="C2" s="6">
        <v>2</v>
      </c>
      <c r="D2" s="6">
        <v>2</v>
      </c>
      <c r="E2" s="6">
        <v>2</v>
      </c>
      <c r="F2" s="6">
        <v>2</v>
      </c>
      <c r="G2" s="6">
        <v>2</v>
      </c>
      <c r="H2" s="6">
        <v>2</v>
      </c>
    </row>
    <row r="3" spans="1:9" x14ac:dyDescent="0.3">
      <c r="A3" s="3" t="s">
        <v>29</v>
      </c>
      <c r="B3" s="6">
        <v>1.1000000000000001</v>
      </c>
      <c r="C3" s="6">
        <v>2</v>
      </c>
      <c r="D3" s="6">
        <v>2</v>
      </c>
      <c r="E3" s="6">
        <v>2</v>
      </c>
      <c r="F3" s="6">
        <v>2</v>
      </c>
      <c r="G3" s="6">
        <v>2</v>
      </c>
      <c r="H3" s="6">
        <v>2</v>
      </c>
    </row>
    <row r="4" spans="1:9" x14ac:dyDescent="0.3">
      <c r="A4" s="3" t="s">
        <v>29</v>
      </c>
      <c r="B4" s="6">
        <v>1.1000000000000001</v>
      </c>
      <c r="C4" s="6">
        <v>2</v>
      </c>
      <c r="D4" s="6">
        <v>2</v>
      </c>
      <c r="E4" s="6">
        <v>2</v>
      </c>
      <c r="F4" s="6">
        <v>2</v>
      </c>
      <c r="G4" s="6">
        <v>2</v>
      </c>
      <c r="H4" s="6">
        <v>2</v>
      </c>
    </row>
    <row r="5" spans="1:9" x14ac:dyDescent="0.3">
      <c r="A5" s="3" t="s">
        <v>26</v>
      </c>
      <c r="B5" s="6">
        <v>1</v>
      </c>
      <c r="C5" s="6">
        <v>2</v>
      </c>
      <c r="D5" s="6">
        <v>2.2999999999999998</v>
      </c>
      <c r="E5" s="6">
        <v>2.5</v>
      </c>
      <c r="F5" s="6">
        <v>2</v>
      </c>
      <c r="G5" s="6">
        <v>2</v>
      </c>
      <c r="H5" s="6">
        <v>2</v>
      </c>
    </row>
    <row r="6" spans="1:9" x14ac:dyDescent="0.3">
      <c r="A6" s="3" t="s">
        <v>29</v>
      </c>
      <c r="B6" s="6" t="s">
        <v>27</v>
      </c>
      <c r="C6" s="6">
        <v>2</v>
      </c>
      <c r="D6" s="6">
        <v>2</v>
      </c>
      <c r="E6" s="6">
        <v>2</v>
      </c>
      <c r="F6" s="6">
        <v>2</v>
      </c>
      <c r="G6" s="6">
        <v>2</v>
      </c>
      <c r="H6" s="6">
        <v>2</v>
      </c>
    </row>
    <row r="7" spans="1:9" x14ac:dyDescent="0.3">
      <c r="A7" s="3" t="s">
        <v>26</v>
      </c>
      <c r="B7" s="6">
        <v>2.2000000000000002</v>
      </c>
      <c r="C7" s="6">
        <v>2</v>
      </c>
      <c r="D7" s="6">
        <v>2.2999999999999998</v>
      </c>
      <c r="E7" s="6">
        <v>2.5</v>
      </c>
      <c r="F7" s="6">
        <v>2</v>
      </c>
      <c r="G7" s="6">
        <v>2</v>
      </c>
      <c r="H7" s="6">
        <v>2</v>
      </c>
      <c r="I7" s="3" t="s">
        <v>14</v>
      </c>
    </row>
    <row r="8" spans="1:9" x14ac:dyDescent="0.3">
      <c r="A8" s="3" t="s">
        <v>33</v>
      </c>
      <c r="B8" s="6">
        <v>270</v>
      </c>
      <c r="C8" s="6">
        <v>2.6</v>
      </c>
      <c r="D8" s="6">
        <v>0.8</v>
      </c>
      <c r="E8" s="6">
        <v>0.7</v>
      </c>
      <c r="F8" s="6">
        <v>49</v>
      </c>
      <c r="G8" s="6">
        <v>0.13</v>
      </c>
      <c r="H8" s="6">
        <v>11</v>
      </c>
      <c r="I8" s="3" t="s">
        <v>11</v>
      </c>
    </row>
    <row r="9" spans="1:9" x14ac:dyDescent="0.3">
      <c r="A9" s="3" t="s">
        <v>33</v>
      </c>
      <c r="B9" s="6">
        <v>270</v>
      </c>
      <c r="C9" s="6">
        <v>2.6</v>
      </c>
      <c r="D9" s="6">
        <v>0.8</v>
      </c>
      <c r="E9" s="6">
        <v>0.7</v>
      </c>
      <c r="F9" s="6">
        <v>49</v>
      </c>
      <c r="G9" s="6">
        <v>0.13</v>
      </c>
      <c r="H9" s="6">
        <v>11</v>
      </c>
      <c r="I9" s="3" t="s">
        <v>11</v>
      </c>
    </row>
    <row r="10" spans="1:9" x14ac:dyDescent="0.3">
      <c r="A10" s="3" t="s">
        <v>33</v>
      </c>
      <c r="B10" s="6">
        <v>270</v>
      </c>
      <c r="C10" s="6">
        <v>2.6</v>
      </c>
      <c r="D10" s="6">
        <v>0.8</v>
      </c>
      <c r="E10" s="6">
        <v>0.7</v>
      </c>
      <c r="F10" s="6">
        <v>49</v>
      </c>
      <c r="G10" s="6">
        <v>0.13</v>
      </c>
      <c r="H10" s="6">
        <v>11</v>
      </c>
      <c r="I10" s="3" t="s">
        <v>11</v>
      </c>
    </row>
    <row r="11" spans="1:9" x14ac:dyDescent="0.3">
      <c r="A11" s="3" t="s">
        <v>39</v>
      </c>
      <c r="B11" s="6">
        <v>1.1000000000000001</v>
      </c>
      <c r="C11" s="6">
        <v>2</v>
      </c>
      <c r="D11" s="6">
        <v>2</v>
      </c>
      <c r="E11" s="6">
        <v>2</v>
      </c>
      <c r="F11" s="6">
        <v>3</v>
      </c>
      <c r="G11" s="6">
        <v>5</v>
      </c>
      <c r="H11" s="6">
        <v>4</v>
      </c>
      <c r="I11" s="3" t="s">
        <v>15</v>
      </c>
    </row>
    <row r="12" spans="1:9" x14ac:dyDescent="0.3">
      <c r="A12" s="3" t="s">
        <v>42</v>
      </c>
      <c r="B12" s="6">
        <v>1.1000000000000001</v>
      </c>
      <c r="C12" s="6">
        <v>1</v>
      </c>
      <c r="D12" s="6">
        <v>1</v>
      </c>
      <c r="E12" s="6">
        <v>1</v>
      </c>
      <c r="F12" s="6">
        <v>1</v>
      </c>
      <c r="G12" s="6">
        <v>1</v>
      </c>
      <c r="H12" s="6">
        <v>1</v>
      </c>
      <c r="I12" s="3" t="s">
        <v>13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etour">
                <anchor moveWithCells="1">
                  <from>
                    <xdr:col>9</xdr:col>
                    <xdr:colOff>784860</xdr:colOff>
                    <xdr:row>1</xdr:row>
                    <xdr:rowOff>0</xdr:rowOff>
                  </from>
                  <to>
                    <xdr:col>12</xdr:col>
                    <xdr:colOff>525780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dashboard_consommateur</vt:lpstr>
      <vt:lpstr>dashboard_producteur</vt:lpstr>
      <vt:lpstr>Traitement</vt:lpstr>
      <vt:lpstr>Historique_producteur</vt:lpstr>
      <vt:lpstr>Historique_consommateur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Léo Gabet</dc:creator>
  <cp:lastModifiedBy>Léo Gabet</cp:lastModifiedBy>
  <dcterms:created xsi:type="dcterms:W3CDTF">2023-10-14T11:45:31Z</dcterms:created>
  <dcterms:modified xsi:type="dcterms:W3CDTF">2023-11-22T00:17:42Z</dcterms:modified>
</cp:coreProperties>
</file>